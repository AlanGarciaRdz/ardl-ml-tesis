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1fa65e6b367cc0d/Escritorio/"/>
    </mc:Choice>
  </mc:AlternateContent>
  <xr:revisionPtr revIDLastSave="0" documentId="8_{E2CEDB47-A183-482B-BE84-DE2AA3A312FE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Jalisco" sheetId="1" r:id="rId1"/>
    <sheet name="Nuevo Leon" sheetId="2" r:id="rId2"/>
  </sheets>
  <definedNames>
    <definedName name="_xlnm._FilterDatabase" localSheetId="0" hidden="1">Jalisco!$A$1:$I$177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" i="1" l="1"/>
  <c r="J3" i="1" s="1"/>
  <c r="J39" i="1" l="1"/>
  <c r="J97" i="1"/>
  <c r="J65" i="1"/>
  <c r="J96" i="1"/>
  <c r="J56" i="1"/>
  <c r="J87" i="1"/>
  <c r="J47" i="1"/>
  <c r="J126" i="1"/>
  <c r="J118" i="1"/>
  <c r="J110" i="1"/>
  <c r="J102" i="1"/>
  <c r="J94" i="1"/>
  <c r="J86" i="1"/>
  <c r="J78" i="1"/>
  <c r="J70" i="1"/>
  <c r="J62" i="1"/>
  <c r="J54" i="1"/>
  <c r="J46" i="1"/>
  <c r="J38" i="1"/>
  <c r="J105" i="1"/>
  <c r="J89" i="1"/>
  <c r="J41" i="1"/>
  <c r="J104" i="1"/>
  <c r="J72" i="1"/>
  <c r="J48" i="1"/>
  <c r="J111" i="1"/>
  <c r="J55" i="1"/>
  <c r="J125" i="1"/>
  <c r="J117" i="1"/>
  <c r="J109" i="1"/>
  <c r="J101" i="1"/>
  <c r="J93" i="1"/>
  <c r="J85" i="1"/>
  <c r="J77" i="1"/>
  <c r="J69" i="1"/>
  <c r="J61" i="1"/>
  <c r="J53" i="1"/>
  <c r="J45" i="1"/>
  <c r="J37" i="1"/>
  <c r="J119" i="1"/>
  <c r="J71" i="1"/>
  <c r="J124" i="1"/>
  <c r="J116" i="1"/>
  <c r="J108" i="1"/>
  <c r="J100" i="1"/>
  <c r="J92" i="1"/>
  <c r="J84" i="1"/>
  <c r="J76" i="1"/>
  <c r="J68" i="1"/>
  <c r="J60" i="1"/>
  <c r="J52" i="1"/>
  <c r="J44" i="1"/>
  <c r="J36" i="1"/>
  <c r="J113" i="1"/>
  <c r="J81" i="1"/>
  <c r="J57" i="1"/>
  <c r="J112" i="1"/>
  <c r="J88" i="1"/>
  <c r="J64" i="1"/>
  <c r="J2" i="1"/>
  <c r="J95" i="1"/>
  <c r="J63" i="1"/>
  <c r="J123" i="1"/>
  <c r="J115" i="1"/>
  <c r="J107" i="1"/>
  <c r="J99" i="1"/>
  <c r="J91" i="1"/>
  <c r="J83" i="1"/>
  <c r="J75" i="1"/>
  <c r="J67" i="1"/>
  <c r="J59" i="1"/>
  <c r="J51" i="1"/>
  <c r="J43" i="1"/>
  <c r="J35" i="1"/>
  <c r="J121" i="1"/>
  <c r="J73" i="1"/>
  <c r="J49" i="1"/>
  <c r="J120" i="1"/>
  <c r="J80" i="1"/>
  <c r="J40" i="1"/>
  <c r="J103" i="1"/>
  <c r="J79" i="1"/>
  <c r="J122" i="1"/>
  <c r="J114" i="1"/>
  <c r="J106" i="1"/>
  <c r="J98" i="1"/>
  <c r="J90" i="1"/>
  <c r="J82" i="1"/>
  <c r="J74" i="1"/>
  <c r="J66" i="1"/>
  <c r="J58" i="1"/>
  <c r="J50" i="1"/>
  <c r="J42" i="1"/>
  <c r="J32" i="1"/>
  <c r="J31" i="1"/>
  <c r="J29" i="1"/>
  <c r="J30" i="1"/>
  <c r="J34" i="1"/>
  <c r="J33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F126" i="1" l="1"/>
  <c r="F125" i="1"/>
  <c r="F124" i="1"/>
  <c r="F123" i="1"/>
  <c r="F122" i="1"/>
  <c r="F121" i="1"/>
  <c r="F120" i="1"/>
  <c r="F119" i="1"/>
  <c r="F118" i="1"/>
  <c r="F117" i="1"/>
  <c r="F116" i="1"/>
  <c r="F115" i="1"/>
  <c r="E114" i="1"/>
  <c r="F114" i="1" s="1"/>
  <c r="F113" i="1"/>
  <c r="E113" i="1"/>
  <c r="F112" i="1"/>
  <c r="E112" i="1"/>
  <c r="E111" i="1"/>
  <c r="F111" i="1" s="1"/>
  <c r="F110" i="1"/>
  <c r="E110" i="1"/>
  <c r="E109" i="1"/>
  <c r="F109" i="1" s="1"/>
  <c r="F108" i="1"/>
  <c r="E108" i="1"/>
  <c r="E107" i="1"/>
  <c r="F107" i="1" s="1"/>
  <c r="F106" i="1"/>
  <c r="E106" i="1"/>
  <c r="E105" i="1"/>
  <c r="F105" i="1" s="1"/>
  <c r="F104" i="1"/>
  <c r="E104" i="1"/>
  <c r="E103" i="1"/>
  <c r="F103" i="1" s="1"/>
  <c r="F102" i="1"/>
  <c r="E102" i="1"/>
  <c r="E101" i="1"/>
  <c r="F101" i="1" s="1"/>
  <c r="F100" i="1"/>
  <c r="K100" i="1" s="1"/>
  <c r="E100" i="1"/>
  <c r="E99" i="1"/>
  <c r="F99" i="1" s="1"/>
  <c r="F98" i="1"/>
  <c r="E98" i="1"/>
  <c r="E97" i="1"/>
  <c r="F97" i="1" s="1"/>
  <c r="F96" i="1"/>
  <c r="E96" i="1"/>
  <c r="E95" i="1"/>
  <c r="F95" i="1" s="1"/>
  <c r="F94" i="1"/>
  <c r="E94" i="1"/>
  <c r="E93" i="1"/>
  <c r="F93" i="1" s="1"/>
  <c r="F92" i="1"/>
  <c r="K92" i="1" s="1"/>
  <c r="E92" i="1"/>
  <c r="E91" i="1"/>
  <c r="F91" i="1" s="1"/>
  <c r="F90" i="1"/>
  <c r="E90" i="1"/>
  <c r="E89" i="1"/>
  <c r="F89" i="1" s="1"/>
  <c r="F88" i="1"/>
  <c r="E88" i="1"/>
  <c r="E87" i="1"/>
  <c r="F87" i="1" s="1"/>
  <c r="F86" i="1"/>
  <c r="E86" i="1"/>
  <c r="E85" i="1"/>
  <c r="F85" i="1" s="1"/>
  <c r="F84" i="1"/>
  <c r="K84" i="1" s="1"/>
  <c r="E84" i="1"/>
  <c r="E83" i="1"/>
  <c r="F83" i="1" s="1"/>
  <c r="F82" i="1"/>
  <c r="E82" i="1"/>
  <c r="E81" i="1"/>
  <c r="F81" i="1" s="1"/>
  <c r="F80" i="1"/>
  <c r="E80" i="1"/>
  <c r="E79" i="1"/>
  <c r="F79" i="1" s="1"/>
  <c r="F78" i="1"/>
  <c r="E78" i="1"/>
  <c r="E77" i="1"/>
  <c r="F77" i="1" s="1"/>
  <c r="F76" i="1"/>
  <c r="K76" i="1" s="1"/>
  <c r="E76" i="1"/>
  <c r="E75" i="1"/>
  <c r="F75" i="1" s="1"/>
  <c r="F74" i="1"/>
  <c r="E74" i="1"/>
  <c r="E73" i="1"/>
  <c r="F73" i="1" s="1"/>
  <c r="F72" i="1"/>
  <c r="E72" i="1"/>
  <c r="E71" i="1"/>
  <c r="F71" i="1" s="1"/>
  <c r="F70" i="1"/>
  <c r="E70" i="1"/>
  <c r="E69" i="1"/>
  <c r="F69" i="1" s="1"/>
  <c r="F68" i="1"/>
  <c r="K68" i="1" s="1"/>
  <c r="E68" i="1"/>
  <c r="E67" i="1"/>
  <c r="F67" i="1" s="1"/>
  <c r="F66" i="1"/>
  <c r="E66" i="1"/>
  <c r="E65" i="1"/>
  <c r="F65" i="1" s="1"/>
  <c r="F64" i="1"/>
  <c r="E64" i="1"/>
  <c r="E63" i="1"/>
  <c r="F63" i="1" s="1"/>
  <c r="F62" i="1"/>
  <c r="E62" i="1"/>
  <c r="E61" i="1"/>
  <c r="F61" i="1" s="1"/>
  <c r="F60" i="1"/>
  <c r="K60" i="1" s="1"/>
  <c r="E60" i="1"/>
  <c r="E59" i="1"/>
  <c r="F59" i="1" s="1"/>
  <c r="F58" i="1"/>
  <c r="E58" i="1"/>
  <c r="F57" i="1"/>
  <c r="K57" i="1" s="1"/>
  <c r="E57" i="1"/>
  <c r="F56" i="1"/>
  <c r="E56" i="1"/>
  <c r="E55" i="1"/>
  <c r="F55" i="1" s="1"/>
  <c r="F54" i="1"/>
  <c r="E54" i="1"/>
  <c r="E53" i="1"/>
  <c r="F53" i="1" s="1"/>
  <c r="F52" i="1"/>
  <c r="K52" i="1" s="1"/>
  <c r="E52" i="1"/>
  <c r="E51" i="1"/>
  <c r="F51" i="1" s="1"/>
  <c r="F50" i="1"/>
  <c r="E50" i="1"/>
  <c r="F49" i="1"/>
  <c r="K49" i="1" s="1"/>
  <c r="E49" i="1"/>
  <c r="F48" i="1"/>
  <c r="E48" i="1"/>
  <c r="E47" i="1"/>
  <c r="F47" i="1" s="1"/>
  <c r="F46" i="1"/>
  <c r="E46" i="1"/>
  <c r="E45" i="1"/>
  <c r="F45" i="1" s="1"/>
  <c r="F44" i="1"/>
  <c r="K44" i="1" s="1"/>
  <c r="E44" i="1"/>
  <c r="E43" i="1"/>
  <c r="F43" i="1" s="1"/>
  <c r="F42" i="1"/>
  <c r="E42" i="1"/>
  <c r="F41" i="1"/>
  <c r="K41" i="1" s="1"/>
  <c r="E41" i="1"/>
  <c r="F40" i="1"/>
  <c r="E40" i="1"/>
  <c r="E39" i="1"/>
  <c r="F39" i="1" s="1"/>
  <c r="F38" i="1"/>
  <c r="E38" i="1"/>
  <c r="E37" i="1"/>
  <c r="F37" i="1" s="1"/>
  <c r="F36" i="1"/>
  <c r="K36" i="1" s="1"/>
  <c r="E36" i="1"/>
  <c r="E35" i="1"/>
  <c r="F35" i="1" s="1"/>
  <c r="F34" i="1"/>
  <c r="E34" i="1"/>
  <c r="F33" i="1"/>
  <c r="K33" i="1" s="1"/>
  <c r="E33" i="1"/>
  <c r="F32" i="1"/>
  <c r="E32" i="1"/>
  <c r="E31" i="1"/>
  <c r="F31" i="1" s="1"/>
  <c r="F30" i="1"/>
  <c r="E30" i="1"/>
  <c r="E29" i="1"/>
  <c r="F29" i="1" s="1"/>
  <c r="F28" i="1"/>
  <c r="K28" i="1" s="1"/>
  <c r="E28" i="1"/>
  <c r="E27" i="1"/>
  <c r="F27" i="1" s="1"/>
  <c r="F26" i="1"/>
  <c r="E26" i="1"/>
  <c r="F25" i="1"/>
  <c r="K25" i="1" s="1"/>
  <c r="E25" i="1"/>
  <c r="F24" i="1"/>
  <c r="E24" i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F17" i="1"/>
  <c r="K17" i="1" s="1"/>
  <c r="E17" i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F9" i="1"/>
  <c r="K9" i="1" s="1"/>
  <c r="E9" i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  <c r="G28" i="1" l="1"/>
  <c r="L28" i="1" s="1"/>
  <c r="G17" i="1"/>
  <c r="H17" i="1" s="1"/>
  <c r="G60" i="1"/>
  <c r="L60" i="1" s="1"/>
  <c r="G36" i="1"/>
  <c r="L36" i="1" s="1"/>
  <c r="G52" i="1"/>
  <c r="L52" i="1" s="1"/>
  <c r="G44" i="1"/>
  <c r="L44" i="1" s="1"/>
  <c r="G116" i="1"/>
  <c r="K116" i="1"/>
  <c r="G19" i="1"/>
  <c r="K19" i="1"/>
  <c r="G61" i="1"/>
  <c r="K61" i="1"/>
  <c r="G66" i="1"/>
  <c r="K66" i="1"/>
  <c r="G71" i="1"/>
  <c r="K71" i="1"/>
  <c r="G81" i="1"/>
  <c r="K81" i="1"/>
  <c r="G91" i="1"/>
  <c r="K91" i="1"/>
  <c r="G100" i="1"/>
  <c r="G111" i="1"/>
  <c r="K111" i="1"/>
  <c r="G117" i="1"/>
  <c r="K117" i="1"/>
  <c r="G8" i="1"/>
  <c r="K8" i="1"/>
  <c r="G14" i="1"/>
  <c r="K14" i="1"/>
  <c r="G20" i="1"/>
  <c r="K20" i="1"/>
  <c r="G25" i="1"/>
  <c r="G29" i="1"/>
  <c r="K29" i="1"/>
  <c r="G33" i="1"/>
  <c r="G37" i="1"/>
  <c r="K37" i="1"/>
  <c r="G41" i="1"/>
  <c r="G45" i="1"/>
  <c r="K45" i="1"/>
  <c r="G49" i="1"/>
  <c r="G53" i="1"/>
  <c r="K53" i="1"/>
  <c r="G57" i="1"/>
  <c r="G67" i="1"/>
  <c r="K67" i="1"/>
  <c r="G76" i="1"/>
  <c r="G86" i="1"/>
  <c r="K86" i="1"/>
  <c r="G96" i="1"/>
  <c r="K96" i="1"/>
  <c r="G101" i="1"/>
  <c r="K101" i="1"/>
  <c r="G106" i="1"/>
  <c r="K106" i="1"/>
  <c r="G118" i="1"/>
  <c r="K118" i="1"/>
  <c r="G126" i="1"/>
  <c r="K126" i="1"/>
  <c r="G119" i="1"/>
  <c r="K119" i="1"/>
  <c r="G120" i="1"/>
  <c r="K120" i="1"/>
  <c r="G6" i="1"/>
  <c r="K6" i="1"/>
  <c r="G18" i="1"/>
  <c r="K18" i="1"/>
  <c r="G70" i="1"/>
  <c r="K70" i="1"/>
  <c r="G80" i="1"/>
  <c r="K80" i="1"/>
  <c r="G85" i="1"/>
  <c r="K85" i="1"/>
  <c r="G90" i="1"/>
  <c r="K90" i="1"/>
  <c r="G95" i="1"/>
  <c r="K95" i="1"/>
  <c r="G105" i="1"/>
  <c r="K105" i="1"/>
  <c r="G110" i="1"/>
  <c r="K110" i="1"/>
  <c r="G13" i="1"/>
  <c r="K13" i="1"/>
  <c r="G15" i="1"/>
  <c r="K15" i="1"/>
  <c r="G72" i="1"/>
  <c r="K72" i="1"/>
  <c r="G82" i="1"/>
  <c r="K82" i="1"/>
  <c r="G107" i="1"/>
  <c r="K107" i="1"/>
  <c r="G2" i="1"/>
  <c r="K2" i="1"/>
  <c r="G16" i="1"/>
  <c r="K16" i="1"/>
  <c r="G30" i="1"/>
  <c r="K30" i="1"/>
  <c r="G38" i="1"/>
  <c r="K38" i="1"/>
  <c r="G63" i="1"/>
  <c r="K63" i="1"/>
  <c r="G121" i="1"/>
  <c r="K121" i="1"/>
  <c r="G4" i="1"/>
  <c r="K4" i="1"/>
  <c r="G10" i="1"/>
  <c r="K10" i="1"/>
  <c r="G64" i="1"/>
  <c r="K64" i="1"/>
  <c r="G69" i="1"/>
  <c r="K69" i="1"/>
  <c r="G74" i="1"/>
  <c r="K74" i="1"/>
  <c r="G79" i="1"/>
  <c r="K79" i="1"/>
  <c r="G89" i="1"/>
  <c r="K89" i="1"/>
  <c r="G99" i="1"/>
  <c r="K99" i="1"/>
  <c r="G109" i="1"/>
  <c r="K109" i="1"/>
  <c r="G114" i="1"/>
  <c r="K114" i="1"/>
  <c r="G122" i="1"/>
  <c r="K122" i="1"/>
  <c r="G12" i="1"/>
  <c r="K12" i="1"/>
  <c r="G7" i="1"/>
  <c r="K7" i="1"/>
  <c r="G21" i="1"/>
  <c r="K21" i="1"/>
  <c r="G62" i="1"/>
  <c r="K62" i="1"/>
  <c r="G77" i="1"/>
  <c r="K77" i="1"/>
  <c r="G87" i="1"/>
  <c r="K87" i="1"/>
  <c r="G97" i="1"/>
  <c r="K97" i="1"/>
  <c r="G112" i="1"/>
  <c r="K112" i="1"/>
  <c r="G22" i="1"/>
  <c r="K22" i="1"/>
  <c r="G26" i="1"/>
  <c r="K26" i="1"/>
  <c r="G34" i="1"/>
  <c r="K34" i="1"/>
  <c r="G42" i="1"/>
  <c r="K42" i="1"/>
  <c r="G46" i="1"/>
  <c r="K46" i="1"/>
  <c r="G50" i="1"/>
  <c r="K50" i="1"/>
  <c r="G54" i="1"/>
  <c r="K54" i="1"/>
  <c r="G58" i="1"/>
  <c r="K58" i="1"/>
  <c r="G73" i="1"/>
  <c r="K73" i="1"/>
  <c r="G83" i="1"/>
  <c r="K83" i="1"/>
  <c r="G92" i="1"/>
  <c r="G102" i="1"/>
  <c r="K102" i="1"/>
  <c r="G3" i="1"/>
  <c r="K3" i="1"/>
  <c r="G9" i="1"/>
  <c r="G23" i="1"/>
  <c r="K23" i="1"/>
  <c r="G27" i="1"/>
  <c r="K27" i="1"/>
  <c r="G31" i="1"/>
  <c r="K31" i="1"/>
  <c r="G35" i="1"/>
  <c r="K35" i="1"/>
  <c r="G39" i="1"/>
  <c r="K39" i="1"/>
  <c r="G43" i="1"/>
  <c r="K43" i="1"/>
  <c r="G47" i="1"/>
  <c r="K47" i="1"/>
  <c r="G51" i="1"/>
  <c r="K51" i="1"/>
  <c r="G55" i="1"/>
  <c r="K55" i="1"/>
  <c r="G59" i="1"/>
  <c r="K59" i="1"/>
  <c r="G68" i="1"/>
  <c r="G78" i="1"/>
  <c r="K78" i="1"/>
  <c r="G88" i="1"/>
  <c r="K88" i="1"/>
  <c r="G93" i="1"/>
  <c r="K93" i="1"/>
  <c r="G98" i="1"/>
  <c r="K98" i="1"/>
  <c r="G103" i="1"/>
  <c r="K103" i="1"/>
  <c r="G108" i="1"/>
  <c r="K108" i="1"/>
  <c r="G113" i="1"/>
  <c r="K113" i="1"/>
  <c r="G5" i="1"/>
  <c r="K5" i="1"/>
  <c r="G11" i="1"/>
  <c r="K11" i="1"/>
  <c r="G24" i="1"/>
  <c r="K24" i="1"/>
  <c r="G32" i="1"/>
  <c r="K32" i="1"/>
  <c r="G40" i="1"/>
  <c r="K40" i="1"/>
  <c r="G48" i="1"/>
  <c r="K48" i="1"/>
  <c r="G56" i="1"/>
  <c r="K56" i="1"/>
  <c r="G65" i="1"/>
  <c r="K65" i="1"/>
  <c r="G75" i="1"/>
  <c r="K75" i="1"/>
  <c r="G84" i="1"/>
  <c r="G94" i="1"/>
  <c r="K94" i="1"/>
  <c r="G104" i="1"/>
  <c r="K104" i="1"/>
  <c r="G115" i="1"/>
  <c r="K115" i="1"/>
  <c r="G123" i="1"/>
  <c r="K123" i="1"/>
  <c r="G124" i="1"/>
  <c r="K124" i="1"/>
  <c r="G125" i="1"/>
  <c r="K125" i="1"/>
  <c r="H52" i="1" l="1"/>
  <c r="H36" i="1"/>
  <c r="I36" i="1" s="1"/>
  <c r="N36" i="1" s="1"/>
  <c r="H60" i="1"/>
  <c r="H44" i="1"/>
  <c r="I44" i="1" s="1"/>
  <c r="N44" i="1" s="1"/>
  <c r="L17" i="1"/>
  <c r="H28" i="1"/>
  <c r="I28" i="1" s="1"/>
  <c r="N28" i="1" s="1"/>
  <c r="H83" i="1"/>
  <c r="L83" i="1"/>
  <c r="H26" i="1"/>
  <c r="L26" i="1"/>
  <c r="I17" i="1"/>
  <c r="N17" i="1" s="1"/>
  <c r="M17" i="1"/>
  <c r="H79" i="1"/>
  <c r="L79" i="1"/>
  <c r="H90" i="1"/>
  <c r="L90" i="1"/>
  <c r="H37" i="1"/>
  <c r="L37" i="1"/>
  <c r="H35" i="1"/>
  <c r="L35" i="1"/>
  <c r="H46" i="1"/>
  <c r="L46" i="1"/>
  <c r="H103" i="1"/>
  <c r="L103" i="1"/>
  <c r="H7" i="1"/>
  <c r="L7" i="1"/>
  <c r="H109" i="1"/>
  <c r="L109" i="1"/>
  <c r="H74" i="1"/>
  <c r="L74" i="1"/>
  <c r="H4" i="1"/>
  <c r="L4" i="1"/>
  <c r="H30" i="1"/>
  <c r="L30" i="1"/>
  <c r="H82" i="1"/>
  <c r="L82" i="1"/>
  <c r="H110" i="1"/>
  <c r="L110" i="1"/>
  <c r="H85" i="1"/>
  <c r="L85" i="1"/>
  <c r="H18" i="1"/>
  <c r="L18" i="1"/>
  <c r="H126" i="1"/>
  <c r="L126" i="1"/>
  <c r="H96" i="1"/>
  <c r="L96" i="1"/>
  <c r="H53" i="1"/>
  <c r="L53" i="1"/>
  <c r="H8" i="1"/>
  <c r="L8" i="1"/>
  <c r="H94" i="1"/>
  <c r="L94" i="1"/>
  <c r="H23" i="1"/>
  <c r="L23" i="1"/>
  <c r="H100" i="1"/>
  <c r="L100" i="1"/>
  <c r="H48" i="1"/>
  <c r="L48" i="1"/>
  <c r="H13" i="1"/>
  <c r="L13" i="1"/>
  <c r="H57" i="1"/>
  <c r="L57" i="1"/>
  <c r="H123" i="1"/>
  <c r="L123" i="1"/>
  <c r="H77" i="1"/>
  <c r="L77" i="1"/>
  <c r="H33" i="1"/>
  <c r="L33" i="1"/>
  <c r="H11" i="1"/>
  <c r="L11" i="1"/>
  <c r="H3" i="1"/>
  <c r="L3" i="1"/>
  <c r="H115" i="1"/>
  <c r="L115" i="1"/>
  <c r="H68" i="1"/>
  <c r="L68" i="1"/>
  <c r="H47" i="1"/>
  <c r="L47" i="1"/>
  <c r="H31" i="1"/>
  <c r="L31" i="1"/>
  <c r="H58" i="1"/>
  <c r="L58" i="1"/>
  <c r="H42" i="1"/>
  <c r="L42" i="1"/>
  <c r="H112" i="1"/>
  <c r="L112" i="1"/>
  <c r="H62" i="1"/>
  <c r="L62" i="1"/>
  <c r="H49" i="1"/>
  <c r="L49" i="1"/>
  <c r="H29" i="1"/>
  <c r="L29" i="1"/>
  <c r="H81" i="1"/>
  <c r="L81" i="1"/>
  <c r="H124" i="1"/>
  <c r="L124" i="1"/>
  <c r="H39" i="1"/>
  <c r="L39" i="1"/>
  <c r="H87" i="1"/>
  <c r="L87" i="1"/>
  <c r="H67" i="1"/>
  <c r="L67" i="1"/>
  <c r="H66" i="1"/>
  <c r="L66" i="1"/>
  <c r="H108" i="1"/>
  <c r="L108" i="1"/>
  <c r="H38" i="1"/>
  <c r="L38" i="1"/>
  <c r="H119" i="1"/>
  <c r="L119" i="1"/>
  <c r="H73" i="1"/>
  <c r="L73" i="1"/>
  <c r="H61" i="1"/>
  <c r="L61" i="1"/>
  <c r="H40" i="1"/>
  <c r="L40" i="1"/>
  <c r="H16" i="1"/>
  <c r="L16" i="1"/>
  <c r="H88" i="1"/>
  <c r="L88" i="1"/>
  <c r="H114" i="1"/>
  <c r="L114" i="1"/>
  <c r="H107" i="1"/>
  <c r="L107" i="1"/>
  <c r="H101" i="1"/>
  <c r="L101" i="1"/>
  <c r="H75" i="1"/>
  <c r="L75" i="1"/>
  <c r="H32" i="1"/>
  <c r="L32" i="1"/>
  <c r="H98" i="1"/>
  <c r="L98" i="1"/>
  <c r="H99" i="1"/>
  <c r="L99" i="1"/>
  <c r="H69" i="1"/>
  <c r="L69" i="1"/>
  <c r="H72" i="1"/>
  <c r="L72" i="1"/>
  <c r="H80" i="1"/>
  <c r="L80" i="1"/>
  <c r="H118" i="1"/>
  <c r="L118" i="1"/>
  <c r="H117" i="1"/>
  <c r="L117" i="1"/>
  <c r="H125" i="1"/>
  <c r="L125" i="1"/>
  <c r="H104" i="1"/>
  <c r="L104" i="1"/>
  <c r="H59" i="1"/>
  <c r="L59" i="1"/>
  <c r="H43" i="1"/>
  <c r="L43" i="1"/>
  <c r="H27" i="1"/>
  <c r="L27" i="1"/>
  <c r="H92" i="1"/>
  <c r="L92" i="1"/>
  <c r="H54" i="1"/>
  <c r="L54" i="1"/>
  <c r="H34" i="1"/>
  <c r="L34" i="1"/>
  <c r="H97" i="1"/>
  <c r="L97" i="1"/>
  <c r="H21" i="1"/>
  <c r="L21" i="1"/>
  <c r="H76" i="1"/>
  <c r="L76" i="1"/>
  <c r="H45" i="1"/>
  <c r="L45" i="1"/>
  <c r="H71" i="1"/>
  <c r="L71" i="1"/>
  <c r="H55" i="1"/>
  <c r="L55" i="1"/>
  <c r="H50" i="1"/>
  <c r="L50" i="1"/>
  <c r="H84" i="1"/>
  <c r="L84" i="1"/>
  <c r="H9" i="1"/>
  <c r="L9" i="1"/>
  <c r="H10" i="1"/>
  <c r="L10" i="1"/>
  <c r="I60" i="1"/>
  <c r="N60" i="1" s="1"/>
  <c r="M60" i="1"/>
  <c r="H14" i="1"/>
  <c r="L14" i="1"/>
  <c r="H51" i="1"/>
  <c r="L51" i="1"/>
  <c r="H22" i="1"/>
  <c r="L22" i="1"/>
  <c r="H91" i="1"/>
  <c r="L91" i="1"/>
  <c r="H78" i="1"/>
  <c r="L78" i="1"/>
  <c r="H65" i="1"/>
  <c r="L65" i="1"/>
  <c r="H5" i="1"/>
  <c r="L5" i="1"/>
  <c r="H102" i="1"/>
  <c r="L102" i="1"/>
  <c r="H12" i="1"/>
  <c r="L12" i="1"/>
  <c r="H121" i="1"/>
  <c r="L121" i="1"/>
  <c r="H105" i="1"/>
  <c r="L105" i="1"/>
  <c r="H6" i="1"/>
  <c r="L6" i="1"/>
  <c r="H86" i="1"/>
  <c r="L86" i="1"/>
  <c r="H25" i="1"/>
  <c r="L25" i="1"/>
  <c r="H19" i="1"/>
  <c r="L19" i="1"/>
  <c r="H56" i="1"/>
  <c r="L56" i="1"/>
  <c r="H24" i="1"/>
  <c r="L24" i="1"/>
  <c r="H113" i="1"/>
  <c r="L113" i="1"/>
  <c r="H93" i="1"/>
  <c r="L93" i="1"/>
  <c r="I52" i="1"/>
  <c r="N52" i="1" s="1"/>
  <c r="M52" i="1"/>
  <c r="H122" i="1"/>
  <c r="L122" i="1"/>
  <c r="H89" i="1"/>
  <c r="L89" i="1"/>
  <c r="H64" i="1"/>
  <c r="L64" i="1"/>
  <c r="H63" i="1"/>
  <c r="L63" i="1"/>
  <c r="H2" i="1"/>
  <c r="L2" i="1"/>
  <c r="H15" i="1"/>
  <c r="L15" i="1"/>
  <c r="H95" i="1"/>
  <c r="L95" i="1"/>
  <c r="H70" i="1"/>
  <c r="L70" i="1"/>
  <c r="H120" i="1"/>
  <c r="L120" i="1"/>
  <c r="H106" i="1"/>
  <c r="L106" i="1"/>
  <c r="H41" i="1"/>
  <c r="L41" i="1"/>
  <c r="H20" i="1"/>
  <c r="L20" i="1"/>
  <c r="H111" i="1"/>
  <c r="L111" i="1"/>
  <c r="H116" i="1"/>
  <c r="L116" i="1"/>
  <c r="M36" i="1" l="1"/>
  <c r="M28" i="1"/>
  <c r="M44" i="1"/>
  <c r="I12" i="1"/>
  <c r="N12" i="1" s="1"/>
  <c r="M12" i="1"/>
  <c r="I78" i="1"/>
  <c r="N78" i="1" s="1"/>
  <c r="M78" i="1"/>
  <c r="I14" i="1"/>
  <c r="N14" i="1" s="1"/>
  <c r="M14" i="1"/>
  <c r="I84" i="1"/>
  <c r="N84" i="1" s="1"/>
  <c r="M84" i="1"/>
  <c r="I45" i="1"/>
  <c r="N45" i="1" s="1"/>
  <c r="M45" i="1"/>
  <c r="I34" i="1"/>
  <c r="N34" i="1" s="1"/>
  <c r="M34" i="1"/>
  <c r="I43" i="1"/>
  <c r="N43" i="1" s="1"/>
  <c r="M43" i="1"/>
  <c r="I117" i="1"/>
  <c r="N117" i="1" s="1"/>
  <c r="M117" i="1"/>
  <c r="I69" i="1"/>
  <c r="N69" i="1" s="1"/>
  <c r="M69" i="1"/>
  <c r="I75" i="1"/>
  <c r="N75" i="1" s="1"/>
  <c r="M75" i="1"/>
  <c r="I88" i="1"/>
  <c r="N88" i="1" s="1"/>
  <c r="M88" i="1"/>
  <c r="I73" i="1"/>
  <c r="N73" i="1" s="1"/>
  <c r="M73" i="1"/>
  <c r="I66" i="1"/>
  <c r="N66" i="1" s="1"/>
  <c r="M66" i="1"/>
  <c r="I124" i="1"/>
  <c r="N124" i="1" s="1"/>
  <c r="M124" i="1"/>
  <c r="I62" i="1"/>
  <c r="N62" i="1" s="1"/>
  <c r="M62" i="1"/>
  <c r="I31" i="1"/>
  <c r="N31" i="1" s="1"/>
  <c r="M31" i="1"/>
  <c r="I3" i="1"/>
  <c r="N3" i="1" s="1"/>
  <c r="M3" i="1"/>
  <c r="I123" i="1"/>
  <c r="N123" i="1" s="1"/>
  <c r="M123" i="1"/>
  <c r="I48" i="1"/>
  <c r="N48" i="1" s="1"/>
  <c r="M48" i="1"/>
  <c r="I94" i="1"/>
  <c r="N94" i="1" s="1"/>
  <c r="M94" i="1"/>
  <c r="I96" i="1"/>
  <c r="N96" i="1" s="1"/>
  <c r="M96" i="1"/>
  <c r="I110" i="1"/>
  <c r="N110" i="1" s="1"/>
  <c r="M110" i="1"/>
  <c r="I74" i="1"/>
  <c r="N74" i="1" s="1"/>
  <c r="M74" i="1"/>
  <c r="I46" i="1"/>
  <c r="N46" i="1" s="1"/>
  <c r="M46" i="1"/>
  <c r="I79" i="1"/>
  <c r="N79" i="1" s="1"/>
  <c r="M79" i="1"/>
  <c r="I24" i="1"/>
  <c r="N24" i="1" s="1"/>
  <c r="M24" i="1"/>
  <c r="I70" i="1"/>
  <c r="N70" i="1" s="1"/>
  <c r="M70" i="1"/>
  <c r="I99" i="1"/>
  <c r="N99" i="1" s="1"/>
  <c r="M99" i="1"/>
  <c r="I119" i="1"/>
  <c r="N119" i="1" s="1"/>
  <c r="M119" i="1"/>
  <c r="I67" i="1"/>
  <c r="N67" i="1" s="1"/>
  <c r="M67" i="1"/>
  <c r="I81" i="1"/>
  <c r="N81" i="1" s="1"/>
  <c r="M81" i="1"/>
  <c r="I112" i="1"/>
  <c r="N112" i="1" s="1"/>
  <c r="M112" i="1"/>
  <c r="I47" i="1"/>
  <c r="N47" i="1" s="1"/>
  <c r="M47" i="1"/>
  <c r="I11" i="1"/>
  <c r="N11" i="1" s="1"/>
  <c r="M11" i="1"/>
  <c r="I57" i="1"/>
  <c r="N57" i="1" s="1"/>
  <c r="M57" i="1"/>
  <c r="I100" i="1"/>
  <c r="N100" i="1" s="1"/>
  <c r="M100" i="1"/>
  <c r="I126" i="1"/>
  <c r="N126" i="1" s="1"/>
  <c r="M126" i="1"/>
  <c r="I82" i="1"/>
  <c r="N82" i="1" s="1"/>
  <c r="M82" i="1"/>
  <c r="I109" i="1"/>
  <c r="N109" i="1" s="1"/>
  <c r="M109" i="1"/>
  <c r="I35" i="1"/>
  <c r="N35" i="1" s="1"/>
  <c r="M35" i="1"/>
  <c r="I2" i="1"/>
  <c r="N2" i="1" s="1"/>
  <c r="M2" i="1"/>
  <c r="I20" i="1"/>
  <c r="N20" i="1" s="1"/>
  <c r="M20" i="1"/>
  <c r="I6" i="1"/>
  <c r="N6" i="1" s="1"/>
  <c r="M6" i="1"/>
  <c r="I91" i="1"/>
  <c r="N91" i="1" s="1"/>
  <c r="M91" i="1"/>
  <c r="I118" i="1"/>
  <c r="N118" i="1" s="1"/>
  <c r="M118" i="1"/>
  <c r="I120" i="1"/>
  <c r="N120" i="1" s="1"/>
  <c r="M120" i="1"/>
  <c r="I63" i="1"/>
  <c r="N63" i="1" s="1"/>
  <c r="M63" i="1"/>
  <c r="I10" i="1"/>
  <c r="N10" i="1" s="1"/>
  <c r="M10" i="1"/>
  <c r="I104" i="1"/>
  <c r="N104" i="1" s="1"/>
  <c r="M104" i="1"/>
  <c r="I107" i="1"/>
  <c r="N107" i="1" s="1"/>
  <c r="M107" i="1"/>
  <c r="I40" i="1"/>
  <c r="N40" i="1" s="1"/>
  <c r="M40" i="1"/>
  <c r="I87" i="1"/>
  <c r="N87" i="1" s="1"/>
  <c r="M87" i="1"/>
  <c r="I29" i="1"/>
  <c r="N29" i="1" s="1"/>
  <c r="M29" i="1"/>
  <c r="I42" i="1"/>
  <c r="N42" i="1" s="1"/>
  <c r="M42" i="1"/>
  <c r="I68" i="1"/>
  <c r="N68" i="1" s="1"/>
  <c r="M68" i="1"/>
  <c r="I33" i="1"/>
  <c r="N33" i="1" s="1"/>
  <c r="M33" i="1"/>
  <c r="I13" i="1"/>
  <c r="N13" i="1" s="1"/>
  <c r="M13" i="1"/>
  <c r="I8" i="1"/>
  <c r="N8" i="1" s="1"/>
  <c r="M8" i="1"/>
  <c r="I18" i="1"/>
  <c r="N18" i="1" s="1"/>
  <c r="M18" i="1"/>
  <c r="I30" i="1"/>
  <c r="N30" i="1" s="1"/>
  <c r="M30" i="1"/>
  <c r="I7" i="1"/>
  <c r="N7" i="1" s="1"/>
  <c r="M7" i="1"/>
  <c r="I37" i="1"/>
  <c r="N37" i="1" s="1"/>
  <c r="M37" i="1"/>
  <c r="I26" i="1"/>
  <c r="N26" i="1" s="1"/>
  <c r="M26" i="1"/>
  <c r="I111" i="1"/>
  <c r="N111" i="1" s="1"/>
  <c r="M111" i="1"/>
  <c r="I86" i="1"/>
  <c r="N86" i="1" s="1"/>
  <c r="M86" i="1"/>
  <c r="I56" i="1"/>
  <c r="N56" i="1" s="1"/>
  <c r="M56" i="1"/>
  <c r="I102" i="1"/>
  <c r="N102" i="1" s="1"/>
  <c r="M102" i="1"/>
  <c r="I50" i="1"/>
  <c r="N50" i="1" s="1"/>
  <c r="M50" i="1"/>
  <c r="I54" i="1"/>
  <c r="N54" i="1" s="1"/>
  <c r="M54" i="1"/>
  <c r="I16" i="1"/>
  <c r="N16" i="1" s="1"/>
  <c r="M16" i="1"/>
  <c r="I95" i="1"/>
  <c r="N95" i="1" s="1"/>
  <c r="M95" i="1"/>
  <c r="I93" i="1"/>
  <c r="N93" i="1" s="1"/>
  <c r="M93" i="1"/>
  <c r="I105" i="1"/>
  <c r="N105" i="1" s="1"/>
  <c r="M105" i="1"/>
  <c r="I22" i="1"/>
  <c r="N22" i="1" s="1"/>
  <c r="M22" i="1"/>
  <c r="I55" i="1"/>
  <c r="N55" i="1" s="1"/>
  <c r="M55" i="1"/>
  <c r="I92" i="1"/>
  <c r="N92" i="1" s="1"/>
  <c r="M92" i="1"/>
  <c r="I80" i="1"/>
  <c r="N80" i="1" s="1"/>
  <c r="M80" i="1"/>
  <c r="I38" i="1"/>
  <c r="N38" i="1" s="1"/>
  <c r="M38" i="1"/>
  <c r="I122" i="1"/>
  <c r="N122" i="1" s="1"/>
  <c r="M122" i="1"/>
  <c r="I76" i="1"/>
  <c r="N76" i="1" s="1"/>
  <c r="M76" i="1"/>
  <c r="I59" i="1"/>
  <c r="N59" i="1" s="1"/>
  <c r="M59" i="1"/>
  <c r="I101" i="1"/>
  <c r="N101" i="1" s="1"/>
  <c r="M101" i="1"/>
  <c r="I41" i="1"/>
  <c r="N41" i="1" s="1"/>
  <c r="M41" i="1"/>
  <c r="I64" i="1"/>
  <c r="N64" i="1" s="1"/>
  <c r="M64" i="1"/>
  <c r="I19" i="1"/>
  <c r="N19" i="1" s="1"/>
  <c r="M19" i="1"/>
  <c r="I5" i="1"/>
  <c r="N5" i="1" s="1"/>
  <c r="M5" i="1"/>
  <c r="I21" i="1"/>
  <c r="N21" i="1" s="1"/>
  <c r="M21" i="1"/>
  <c r="I98" i="1"/>
  <c r="N98" i="1" s="1"/>
  <c r="M98" i="1"/>
  <c r="I116" i="1"/>
  <c r="N116" i="1" s="1"/>
  <c r="M116" i="1"/>
  <c r="I106" i="1"/>
  <c r="N106" i="1" s="1"/>
  <c r="M106" i="1"/>
  <c r="I15" i="1"/>
  <c r="N15" i="1" s="1"/>
  <c r="M15" i="1"/>
  <c r="I89" i="1"/>
  <c r="N89" i="1" s="1"/>
  <c r="M89" i="1"/>
  <c r="I113" i="1"/>
  <c r="N113" i="1" s="1"/>
  <c r="M113" i="1"/>
  <c r="I25" i="1"/>
  <c r="N25" i="1" s="1"/>
  <c r="M25" i="1"/>
  <c r="I121" i="1"/>
  <c r="N121" i="1" s="1"/>
  <c r="M121" i="1"/>
  <c r="I65" i="1"/>
  <c r="N65" i="1" s="1"/>
  <c r="M65" i="1"/>
  <c r="I51" i="1"/>
  <c r="N51" i="1" s="1"/>
  <c r="M51" i="1"/>
  <c r="I9" i="1"/>
  <c r="N9" i="1" s="1"/>
  <c r="M9" i="1"/>
  <c r="I71" i="1"/>
  <c r="N71" i="1" s="1"/>
  <c r="M71" i="1"/>
  <c r="I97" i="1"/>
  <c r="N97" i="1" s="1"/>
  <c r="M97" i="1"/>
  <c r="I27" i="1"/>
  <c r="N27" i="1" s="1"/>
  <c r="M27" i="1"/>
  <c r="I125" i="1"/>
  <c r="N125" i="1" s="1"/>
  <c r="M125" i="1"/>
  <c r="I72" i="1"/>
  <c r="N72" i="1" s="1"/>
  <c r="M72" i="1"/>
  <c r="I32" i="1"/>
  <c r="N32" i="1" s="1"/>
  <c r="M32" i="1"/>
  <c r="I114" i="1"/>
  <c r="N114" i="1" s="1"/>
  <c r="M114" i="1"/>
  <c r="I61" i="1"/>
  <c r="N61" i="1" s="1"/>
  <c r="M61" i="1"/>
  <c r="I108" i="1"/>
  <c r="N108" i="1" s="1"/>
  <c r="M108" i="1"/>
  <c r="I39" i="1"/>
  <c r="N39" i="1" s="1"/>
  <c r="M39" i="1"/>
  <c r="I49" i="1"/>
  <c r="N49" i="1" s="1"/>
  <c r="M49" i="1"/>
  <c r="I58" i="1"/>
  <c r="N58" i="1" s="1"/>
  <c r="M58" i="1"/>
  <c r="I115" i="1"/>
  <c r="N115" i="1" s="1"/>
  <c r="M115" i="1"/>
  <c r="I77" i="1"/>
  <c r="N77" i="1" s="1"/>
  <c r="M77" i="1"/>
  <c r="I23" i="1"/>
  <c r="N23" i="1" s="1"/>
  <c r="M23" i="1"/>
  <c r="I53" i="1"/>
  <c r="N53" i="1" s="1"/>
  <c r="M53" i="1"/>
  <c r="I85" i="1"/>
  <c r="N85" i="1" s="1"/>
  <c r="M85" i="1"/>
  <c r="I4" i="1"/>
  <c r="N4" i="1" s="1"/>
  <c r="M4" i="1"/>
  <c r="I103" i="1"/>
  <c r="N103" i="1" s="1"/>
  <c r="M103" i="1"/>
  <c r="I90" i="1"/>
  <c r="N90" i="1" s="1"/>
  <c r="M90" i="1"/>
  <c r="I83" i="1"/>
  <c r="N83" i="1" s="1"/>
  <c r="M83" i="1"/>
</calcChain>
</file>

<file path=xl/sharedStrings.xml><?xml version="1.0" encoding="utf-8"?>
<sst xmlns="http://schemas.openxmlformats.org/spreadsheetml/2006/main" count="929" uniqueCount="382">
  <si>
    <t>Municipios</t>
  </si>
  <si>
    <t>Codigos postales</t>
  </si>
  <si>
    <t>Región</t>
  </si>
  <si>
    <t xml:space="preserve">Estado </t>
  </si>
  <si>
    <t>15-30</t>
  </si>
  <si>
    <t>30-100</t>
  </si>
  <si>
    <t>100-200</t>
  </si>
  <si>
    <t>200-500</t>
  </si>
  <si>
    <t>&gt;500</t>
  </si>
  <si>
    <t>Bolaños</t>
  </si>
  <si>
    <t>46130 - 46157</t>
  </si>
  <si>
    <t>Región Norte</t>
  </si>
  <si>
    <t>Jalisco</t>
  </si>
  <si>
    <t>Colotlán</t>
  </si>
  <si>
    <t>46200 - 46239</t>
  </si>
  <si>
    <t>Huejuquilla el Alto</t>
  </si>
  <si>
    <t>46000 - 46037</t>
  </si>
  <si>
    <t>San Martín de Bolaños</t>
  </si>
  <si>
    <t>46350 - 46386</t>
  </si>
  <si>
    <t>Totatiche</t>
  </si>
  <si>
    <t>46170 - 46197</t>
  </si>
  <si>
    <t>Chimaltitán</t>
  </si>
  <si>
    <t>46300 - 46330</t>
  </si>
  <si>
    <t>Huejúcar</t>
  </si>
  <si>
    <t>46260 - 4299</t>
  </si>
  <si>
    <t>Mezquitic</t>
  </si>
  <si>
    <t>46040 - 46087</t>
  </si>
  <si>
    <t>Santa María de los Ángeles</t>
  </si>
  <si>
    <t>46240 - 46259</t>
  </si>
  <si>
    <t>Villa Guerrero</t>
  </si>
  <si>
    <t>46100 - 46127</t>
  </si>
  <si>
    <t>Encarnación de Díaz</t>
  </si>
  <si>
    <t>47270 - 47298</t>
  </si>
  <si>
    <t>Region Áltos Norte</t>
  </si>
  <si>
    <t>Ojuelos de Jalisco</t>
  </si>
  <si>
    <t>47540 - 47566</t>
  </si>
  <si>
    <t>San Juan de los Lagos</t>
  </si>
  <si>
    <t>47000 - 47119</t>
  </si>
  <si>
    <t>Unión de San Antonio</t>
  </si>
  <si>
    <t>47570 - 47588</t>
  </si>
  <si>
    <t>Lagos de Moreno</t>
  </si>
  <si>
    <t>47400 - 47539</t>
  </si>
  <si>
    <t>San Diego de Alejandría</t>
  </si>
  <si>
    <t>47590 - 47599</t>
  </si>
  <si>
    <t>Teocaltiche</t>
  </si>
  <si>
    <t>47200 - 47249</t>
  </si>
  <si>
    <t>Villa Hidalgo</t>
  </si>
  <si>
    <t>47250 - 47269</t>
  </si>
  <si>
    <t>Acatic</t>
  </si>
  <si>
    <t xml:space="preserve">45470 - 45479 </t>
  </si>
  <si>
    <t>Region Altos Sur</t>
  </si>
  <si>
    <t>Cañadas de Obregón</t>
  </si>
  <si>
    <t xml:space="preserve">47360 - 47378 </t>
  </si>
  <si>
    <t>Jesús María</t>
  </si>
  <si>
    <t>47950 - 47977</t>
  </si>
  <si>
    <t>San Ignacio Cerro Gordo</t>
  </si>
  <si>
    <t xml:space="preserve">47190 - 47195 </t>
  </si>
  <si>
    <t>San Miguel el Alto</t>
  </si>
  <si>
    <t xml:space="preserve">47140 - 47160 </t>
  </si>
  <si>
    <t>Valle de Guadalupe</t>
  </si>
  <si>
    <t xml:space="preserve">47380 - 47398 </t>
  </si>
  <si>
    <t>Arandas</t>
  </si>
  <si>
    <t>47180 - 47197</t>
  </si>
  <si>
    <t>Jalostotitlán</t>
  </si>
  <si>
    <t>47120 - 47139</t>
  </si>
  <si>
    <t>Mexticacán</t>
  </si>
  <si>
    <t xml:space="preserve">47340 - 47359 </t>
  </si>
  <si>
    <t>San Julián</t>
  </si>
  <si>
    <t>47170 - 47179</t>
  </si>
  <si>
    <t>Tepatitlán de Morelos</t>
  </si>
  <si>
    <t xml:space="preserve">47600 - 47728 </t>
  </si>
  <si>
    <t>Yahualica de González Gallo</t>
  </si>
  <si>
    <t>47300 - 47339</t>
  </si>
  <si>
    <t>Atotonilco el Alto</t>
  </si>
  <si>
    <t>47750 - 47779</t>
  </si>
  <si>
    <t>Región Ciénega</t>
  </si>
  <si>
    <t>Degollado</t>
  </si>
  <si>
    <t>47980 - 47998</t>
  </si>
  <si>
    <t>La Barca</t>
  </si>
  <si>
    <t>47910 - 47927</t>
  </si>
  <si>
    <t>Poncitlán</t>
  </si>
  <si>
    <t>45950 - 45979</t>
  </si>
  <si>
    <t>Zapotlán del Rey</t>
  </si>
  <si>
    <t xml:space="preserve">45980 - 45998 </t>
  </si>
  <si>
    <t>Ayotlán</t>
  </si>
  <si>
    <t>47930 - 47949</t>
  </si>
  <si>
    <t>Jamay</t>
  </si>
  <si>
    <t>47900 - 47909</t>
  </si>
  <si>
    <t>Ocotlán</t>
  </si>
  <si>
    <t>47780 - 47899</t>
  </si>
  <si>
    <t>Tototlán</t>
  </si>
  <si>
    <t>47730 - 47748</t>
  </si>
  <si>
    <t>Chapala</t>
  </si>
  <si>
    <t>45900 - 45946</t>
  </si>
  <si>
    <t xml:space="preserve">Región Sureste </t>
  </si>
  <si>
    <t>Jocotepec</t>
  </si>
  <si>
    <t>45800 - 45840</t>
  </si>
  <si>
    <t>Mazamitla</t>
  </si>
  <si>
    <t xml:space="preserve">49500 - 49537 </t>
  </si>
  <si>
    <t>Santa María del Oro</t>
  </si>
  <si>
    <t xml:space="preserve">49970 - 49994 </t>
  </si>
  <si>
    <t>Tuxcueca</t>
  </si>
  <si>
    <t xml:space="preserve">49430 - 49446 </t>
  </si>
  <si>
    <t>Concepción de Buenos Aires</t>
  </si>
  <si>
    <t xml:space="preserve">49170 - 49178 </t>
  </si>
  <si>
    <t>La Manzanilla de la Paz</t>
  </si>
  <si>
    <t xml:space="preserve">49460 - 49490 </t>
  </si>
  <si>
    <t>Quitupan</t>
  </si>
  <si>
    <t xml:space="preserve">49570 - 49598 </t>
  </si>
  <si>
    <t>Tizapán el Alto</t>
  </si>
  <si>
    <t xml:space="preserve">49400 - 49427 </t>
  </si>
  <si>
    <t>Valle de Juárez</t>
  </si>
  <si>
    <t xml:space="preserve">49540 - 49548 </t>
  </si>
  <si>
    <t>Gómez Farías</t>
  </si>
  <si>
    <t xml:space="preserve">49120 - 49130 </t>
  </si>
  <si>
    <t>Región Sur</t>
  </si>
  <si>
    <t>Pihuamo</t>
  </si>
  <si>
    <t>49870 - 49897</t>
  </si>
  <si>
    <t>Tamazula de Gordiano</t>
  </si>
  <si>
    <t xml:space="preserve">49650 - 49690 </t>
  </si>
  <si>
    <t>Tolimán</t>
  </si>
  <si>
    <t xml:space="preserve">49750 - 49769 </t>
  </si>
  <si>
    <t>Tuxpan</t>
  </si>
  <si>
    <t xml:space="preserve">49800 - 49837 </t>
  </si>
  <si>
    <t>Zapotitlán de Vadillo</t>
  </si>
  <si>
    <t xml:space="preserve">49770 - 49768  </t>
  </si>
  <si>
    <t>Jilotlán de los Dolores</t>
  </si>
  <si>
    <t xml:space="preserve">49950 - 49968 </t>
  </si>
  <si>
    <t>San Gabriel</t>
  </si>
  <si>
    <t>49700 - 49744</t>
  </si>
  <si>
    <t>Tecalitlán</t>
  </si>
  <si>
    <t>49900 - 49943</t>
  </si>
  <si>
    <t>Tonila</t>
  </si>
  <si>
    <t>49840 - 49869</t>
  </si>
  <si>
    <t>Zapotiltic</t>
  </si>
  <si>
    <t xml:space="preserve">49600 - 49647 </t>
  </si>
  <si>
    <t>Zapotlán el Grande</t>
  </si>
  <si>
    <t xml:space="preserve">49000 - 49113 </t>
  </si>
  <si>
    <t>Atengo</t>
  </si>
  <si>
    <t xml:space="preserve">48160 - 48199 </t>
  </si>
  <si>
    <t xml:space="preserve">Region Sierra de Amula </t>
  </si>
  <si>
    <t>Ayutla</t>
  </si>
  <si>
    <t xml:space="preserve">48050 - 48098 </t>
  </si>
  <si>
    <t>Cuautla</t>
  </si>
  <si>
    <t xml:space="preserve">48150 - 48159 </t>
  </si>
  <si>
    <t>El Grullo</t>
  </si>
  <si>
    <t xml:space="preserve">48740 - 48753 </t>
  </si>
  <si>
    <t>Juchitlán</t>
  </si>
  <si>
    <t xml:space="preserve">48600 - 48635 </t>
  </si>
  <si>
    <t>Tenamaxtlán</t>
  </si>
  <si>
    <t xml:space="preserve">48570 - 48595 </t>
  </si>
  <si>
    <t>Autlán de Navarro</t>
  </si>
  <si>
    <t xml:space="preserve">48900 - 48926 </t>
  </si>
  <si>
    <t>Chiquilistlán</t>
  </si>
  <si>
    <t xml:space="preserve">48640 - 48655 </t>
  </si>
  <si>
    <t>Ejutla</t>
  </si>
  <si>
    <t xml:space="preserve">48670 - 48686 </t>
  </si>
  <si>
    <t>El Limón</t>
  </si>
  <si>
    <t xml:space="preserve">48700 - 48739 </t>
  </si>
  <si>
    <t>Tecolotlán</t>
  </si>
  <si>
    <t xml:space="preserve">48540 - 48569 </t>
  </si>
  <si>
    <t>Tonaya</t>
  </si>
  <si>
    <t xml:space="preserve">48760 - 48769 </t>
  </si>
  <si>
    <t>Tuxcacuesco</t>
  </si>
  <si>
    <t xml:space="preserve">48770 - 48795 </t>
  </si>
  <si>
    <t>Unión de Tula</t>
  </si>
  <si>
    <t xml:space="preserve">48000 - 48048 </t>
  </si>
  <si>
    <t>Casimiro Castillo</t>
  </si>
  <si>
    <t xml:space="preserve">48930 - 48948 </t>
  </si>
  <si>
    <t>Región Costa Sur</t>
  </si>
  <si>
    <t>Cuautitlán de García Barragán</t>
  </si>
  <si>
    <t xml:space="preserve">48950 - 48967 </t>
  </si>
  <si>
    <t>Tomatlán</t>
  </si>
  <si>
    <t>48450 - 48499</t>
  </si>
  <si>
    <t>Cihuatlán</t>
  </si>
  <si>
    <t>48970 - 48995</t>
  </si>
  <si>
    <t>La Huerta</t>
  </si>
  <si>
    <t>48850 - 48898</t>
  </si>
  <si>
    <t>Villa Purificación</t>
  </si>
  <si>
    <t xml:space="preserve">48800 - 48847 </t>
  </si>
  <si>
    <t>Atenguillo</t>
  </si>
  <si>
    <t>48100 - 48146</t>
  </si>
  <si>
    <t>Región Costa-Sierra Ocidental</t>
  </si>
  <si>
    <t>Guachinango</t>
  </si>
  <si>
    <t xml:space="preserve">46800 - 46846 </t>
  </si>
  <si>
    <t>Mixtlán</t>
  </si>
  <si>
    <t xml:space="preserve">46850 - 46860 </t>
  </si>
  <si>
    <t>San Sebastián del Oeste</t>
  </si>
  <si>
    <t>46960 - 46997</t>
  </si>
  <si>
    <t>Cabo Corrientes</t>
  </si>
  <si>
    <t>48400 - 48448</t>
  </si>
  <si>
    <t>Mascota</t>
  </si>
  <si>
    <t>46900 - 46955</t>
  </si>
  <si>
    <t>Puerto Vallarta</t>
  </si>
  <si>
    <t>48260 - 48399</t>
  </si>
  <si>
    <t>Talpa de Allende</t>
  </si>
  <si>
    <t xml:space="preserve">48200 - 48259 </t>
  </si>
  <si>
    <t>Ahualulco de Mercado</t>
  </si>
  <si>
    <t>46730 - 46758</t>
  </si>
  <si>
    <t xml:space="preserve">Región Valles </t>
  </si>
  <si>
    <t>Ameca</t>
  </si>
  <si>
    <t xml:space="preserve">46600 - 46729 </t>
  </si>
  <si>
    <t>Etzatlán</t>
  </si>
  <si>
    <t xml:space="preserve">46500 - 46535 </t>
  </si>
  <si>
    <t>Magdalena</t>
  </si>
  <si>
    <t xml:space="preserve">46470 - 46495 </t>
  </si>
  <si>
    <t>San Marcos</t>
  </si>
  <si>
    <t>46540 - 46545</t>
  </si>
  <si>
    <t>Tequila</t>
  </si>
  <si>
    <t>46400 - 46433</t>
  </si>
  <si>
    <t>Amatitán</t>
  </si>
  <si>
    <t>45380 - 45399</t>
  </si>
  <si>
    <t>El Arenal</t>
  </si>
  <si>
    <t>45350 - 45368</t>
  </si>
  <si>
    <t>Hostotipaquillo</t>
  </si>
  <si>
    <t>46440 - 46466</t>
  </si>
  <si>
    <t>San Juanito de Escobedo</t>
  </si>
  <si>
    <t>46560 - 46580</t>
  </si>
  <si>
    <t>Tala</t>
  </si>
  <si>
    <t>45300 - 45349</t>
  </si>
  <si>
    <t>Teuchitlán</t>
  </si>
  <si>
    <t xml:space="preserve">46760 - 46765 </t>
  </si>
  <si>
    <t>Acatlán de Juárez</t>
  </si>
  <si>
    <t>45700 - 45725</t>
  </si>
  <si>
    <t>Región Lagunas</t>
  </si>
  <si>
    <t>Atemajac de Brizuela</t>
  </si>
  <si>
    <t>45790 - 45799</t>
  </si>
  <si>
    <t>Cocula</t>
  </si>
  <si>
    <t>48500 - 48532</t>
  </si>
  <si>
    <t>Sayula</t>
  </si>
  <si>
    <t>49300 - 49339</t>
  </si>
  <si>
    <t>Techaluta de Montenegro</t>
  </si>
  <si>
    <t xml:space="preserve">49230 - 49240 </t>
  </si>
  <si>
    <t>Villa Corona</t>
  </si>
  <si>
    <t>45730 - 45746</t>
  </si>
  <si>
    <t>Amacueca</t>
  </si>
  <si>
    <t>49370 - 49388</t>
  </si>
  <si>
    <t>Atoyac</t>
  </si>
  <si>
    <t>49200 - 49229</t>
  </si>
  <si>
    <t>San Martín Hidalgo</t>
  </si>
  <si>
    <t>46770 - 46799</t>
  </si>
  <si>
    <t>Tapalpa</t>
  </si>
  <si>
    <t>49340 - 49369</t>
  </si>
  <si>
    <t>Teocuitatlán de Corona</t>
  </si>
  <si>
    <t>49250 - 49296</t>
  </si>
  <si>
    <t>Zacoalco de Torres</t>
  </si>
  <si>
    <t>45750 - 45789</t>
  </si>
  <si>
    <t>Cuquío</t>
  </si>
  <si>
    <t>45480 - 45496</t>
  </si>
  <si>
    <t>Región Centro</t>
  </si>
  <si>
    <t>Guadalajara</t>
  </si>
  <si>
    <t>44100 - 44990</t>
  </si>
  <si>
    <t>Ixtlahuacán del Río</t>
  </si>
  <si>
    <t>45260 - 45299</t>
  </si>
  <si>
    <t>San Cristóbal de la Barranca</t>
  </si>
  <si>
    <t xml:space="preserve">45250 - 45259 </t>
  </si>
  <si>
    <t>Tlajomulco de Zúñiga</t>
  </si>
  <si>
    <t>45640 - 45679</t>
  </si>
  <si>
    <t>Zapopan</t>
  </si>
  <si>
    <t>45010 -45245</t>
  </si>
  <si>
    <t>El Salto</t>
  </si>
  <si>
    <t>45680 - 45696</t>
  </si>
  <si>
    <t>Ixtlahuacán de los Membrillos</t>
  </si>
  <si>
    <t>45850 - 45877</t>
  </si>
  <si>
    <t>Juanacatlán</t>
  </si>
  <si>
    <t>45880 - 45899</t>
  </si>
  <si>
    <t>San Pedro Tlaquepaque</t>
  </si>
  <si>
    <t>45500 - 45638</t>
  </si>
  <si>
    <t>Tonalá</t>
  </si>
  <si>
    <t>45400 - 45429</t>
  </si>
  <si>
    <t>Zapotlanejo</t>
  </si>
  <si>
    <t>45430 - 45465</t>
  </si>
  <si>
    <t>Códigos Postales</t>
  </si>
  <si>
    <t>Estado</t>
  </si>
  <si>
    <t>Monterrey</t>
  </si>
  <si>
    <t>64000-64990</t>
  </si>
  <si>
    <t>Región Metropolitana</t>
  </si>
  <si>
    <t>Nuevo León</t>
  </si>
  <si>
    <t>San Pedro Garza García</t>
  </si>
  <si>
    <t>66200-66299</t>
  </si>
  <si>
    <t>Guadalupe</t>
  </si>
  <si>
    <t>67100-67199</t>
  </si>
  <si>
    <t>San Nicolás de los Garza</t>
  </si>
  <si>
    <t>66400-66499</t>
  </si>
  <si>
    <t>Apodaca</t>
  </si>
  <si>
    <t>66600-66699</t>
  </si>
  <si>
    <t>General Escobedo</t>
  </si>
  <si>
    <t>66050-66099</t>
  </si>
  <si>
    <t>Santa Catarina</t>
  </si>
  <si>
    <t>66100-66199</t>
  </si>
  <si>
    <t>Juárez</t>
  </si>
  <si>
    <t>67250-67299</t>
  </si>
  <si>
    <t>García</t>
  </si>
  <si>
    <t>66000-66049</t>
  </si>
  <si>
    <t>Salinas Victoria</t>
  </si>
  <si>
    <t>65500-65599</t>
  </si>
  <si>
    <t>Ciénega de Flores</t>
  </si>
  <si>
    <t>65550-65559</t>
  </si>
  <si>
    <t>General Zuazua</t>
  </si>
  <si>
    <t>65750-65799</t>
  </si>
  <si>
    <t>Hidalgo</t>
  </si>
  <si>
    <t>65800-65849</t>
  </si>
  <si>
    <t>Higueras</t>
  </si>
  <si>
    <t>65290-65299</t>
  </si>
  <si>
    <t>Marín</t>
  </si>
  <si>
    <t>65200-65209</t>
  </si>
  <si>
    <t>Pesquería</t>
  </si>
  <si>
    <t>66695-66699</t>
  </si>
  <si>
    <t>Sabinas Hidalgo</t>
  </si>
  <si>
    <t>65210-65289</t>
  </si>
  <si>
    <t>Villaldama</t>
  </si>
  <si>
    <t>65900-65949</t>
  </si>
  <si>
    <t>Abasolo</t>
  </si>
  <si>
    <t>65150-65159</t>
  </si>
  <si>
    <t>Agualeguas</t>
  </si>
  <si>
    <t>65950-65999</t>
  </si>
  <si>
    <t>Carmen</t>
  </si>
  <si>
    <t>65850-65899</t>
  </si>
  <si>
    <t>CerraIvo</t>
  </si>
  <si>
    <t>65960-65989</t>
  </si>
  <si>
    <t>Doctor González</t>
  </si>
  <si>
    <t>65100-65109</t>
  </si>
  <si>
    <t>General Terán</t>
  </si>
  <si>
    <t>67400-67499</t>
  </si>
  <si>
    <t>Los Aldamas</t>
  </si>
  <si>
    <t>65110-65119</t>
  </si>
  <si>
    <t>Los Herreras</t>
  </si>
  <si>
    <t>65120-65129</t>
  </si>
  <si>
    <t>Los Ramones</t>
  </si>
  <si>
    <t>65600-65699</t>
  </si>
  <si>
    <t>Parás</t>
  </si>
  <si>
    <t>65700-65749</t>
  </si>
  <si>
    <t>Allende</t>
  </si>
  <si>
    <t>67350-67399</t>
  </si>
  <si>
    <t>Aramberri</t>
  </si>
  <si>
    <t>67930-67949</t>
  </si>
  <si>
    <t>Doctor Arroyo</t>
  </si>
  <si>
    <t>67900-67929</t>
  </si>
  <si>
    <t>Doctor Coss</t>
  </si>
  <si>
    <t>67470-67489</t>
  </si>
  <si>
    <t>Galeana</t>
  </si>
  <si>
    <t>67800-67899</t>
  </si>
  <si>
    <t>General Bravo</t>
  </si>
  <si>
    <t>67450-67469</t>
  </si>
  <si>
    <t>General Zaragoza</t>
  </si>
  <si>
    <t>67950-67989</t>
  </si>
  <si>
    <t>Iturbide</t>
  </si>
  <si>
    <t>67990-67999</t>
  </si>
  <si>
    <t>Lampazos de Naranjo</t>
  </si>
  <si>
    <t>65130-65149</t>
  </si>
  <si>
    <t>Linares</t>
  </si>
  <si>
    <t>67700-67799</t>
  </si>
  <si>
    <t>Montemorelos</t>
  </si>
  <si>
    <t>67500-67599</t>
  </si>
  <si>
    <t>Rayones</t>
  </si>
  <si>
    <t>67600-67699</t>
  </si>
  <si>
    <t>Anáhuac</t>
  </si>
  <si>
    <t>66470-66489</t>
  </si>
  <si>
    <t>Región Periférica</t>
  </si>
  <si>
    <t>Bustamante</t>
  </si>
  <si>
    <t>65160-65179</t>
  </si>
  <si>
    <t>China</t>
  </si>
  <si>
    <t>65250-65289</t>
  </si>
  <si>
    <t>General Treviño</t>
  </si>
  <si>
    <t>65180-65199</t>
  </si>
  <si>
    <t>Melchor Ocampo</t>
  </si>
  <si>
    <t>65230-65249</t>
  </si>
  <si>
    <t>Mier y Noriega</t>
  </si>
  <si>
    <t>67960-67979</t>
  </si>
  <si>
    <t>Mina</t>
  </si>
  <si>
    <t>65650-65699</t>
  </si>
  <si>
    <t>Cadereyta Jiménez</t>
  </si>
  <si>
    <t>67490-67499</t>
  </si>
  <si>
    <t>El Carmen</t>
  </si>
  <si>
    <t>65190-65199</t>
  </si>
  <si>
    <t>Santiago</t>
  </si>
  <si>
    <t>67300-67349</t>
  </si>
  <si>
    <t>Vallecillo</t>
  </si>
  <si>
    <t>65990-65999</t>
  </si>
  <si>
    <t>Chatarra</t>
  </si>
  <si>
    <t>Tipo de Cambio</t>
  </si>
  <si>
    <t>Precio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</si>
</sst>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charset val="1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3" tint="0.79989013336588644"/>
        <bgColor rgb="FFE2F0D9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9" tint="0.79989013336588644"/>
        <bgColor rgb="FFFBE5D6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44" fontId="1" fillId="0" borderId="0" xfId="1"/>
    <xf numFmtId="44" fontId="1" fillId="6" borderId="0" xfId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5C5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7"/>
  <sheetViews>
    <sheetView tabSelected="1" topLeftCell="C1" zoomScale="115" zoomScaleNormal="115" workbookViewId="0">
      <pane ySplit="1" topLeftCell="A2" activePane="bottomLeft" state="frozen"/>
      <selection pane="bottomLeft" activeCell="I9" sqref="I9"/>
    </sheetView>
  </sheetViews>
  <sheetFormatPr baseColWidth="10" defaultColWidth="10.5546875" defaultRowHeight="14.4" x14ac:dyDescent="0.3"/>
  <cols>
    <col min="1" max="1" width="28.109375" customWidth="1"/>
    <col min="2" max="2" width="26.44140625" customWidth="1"/>
    <col min="3" max="3" width="24.21875" customWidth="1"/>
    <col min="4" max="4" width="32.6640625" customWidth="1"/>
    <col min="5" max="9" width="10.6640625" customWidth="1"/>
    <col min="10" max="10" width="32.6640625" customWidth="1"/>
    <col min="11" max="15" width="11.44140625" bestFit="1" customWidth="1"/>
    <col min="17" max="17" width="15" bestFit="1" customWidth="1"/>
  </cols>
  <sheetData>
    <row r="1" spans="1:19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381</v>
      </c>
      <c r="P1" s="5" t="s">
        <v>379</v>
      </c>
      <c r="Q1" s="5" t="s">
        <v>380</v>
      </c>
    </row>
    <row r="2" spans="1:19" x14ac:dyDescent="0.3">
      <c r="A2" s="6" t="s">
        <v>9</v>
      </c>
      <c r="B2" s="7" t="s">
        <v>10</v>
      </c>
      <c r="C2" s="8" t="s">
        <v>11</v>
      </c>
      <c r="D2" s="9" t="s">
        <v>12</v>
      </c>
      <c r="E2" s="26">
        <f>500</f>
        <v>500</v>
      </c>
      <c r="F2" s="26">
        <f t="shared" ref="F2:F33" si="0">IF(E2&gt;0,E2-200,E2)</f>
        <v>300</v>
      </c>
      <c r="G2" s="26">
        <f t="shared" ref="G2:G33" si="1">F2-100</f>
        <v>200</v>
      </c>
      <c r="H2" s="26">
        <f t="shared" ref="H2:I21" si="2">G2-50</f>
        <v>150</v>
      </c>
      <c r="I2" s="26">
        <f t="shared" si="2"/>
        <v>100</v>
      </c>
      <c r="J2" s="26">
        <f t="shared" ref="J2:J33" si="3">+E2+$O$2</f>
        <v>14709.458064516128</v>
      </c>
      <c r="K2" s="26">
        <f t="shared" ref="K2:K33" si="4">+F2+$O$2</f>
        <v>14509.458064516128</v>
      </c>
      <c r="L2" s="26">
        <f t="shared" ref="L2:L33" si="5">+G2+$O$2</f>
        <v>14409.458064516128</v>
      </c>
      <c r="M2" s="26">
        <f t="shared" ref="M2:M33" si="6">+H2+$O$2</f>
        <v>14359.458064516128</v>
      </c>
      <c r="N2" s="26">
        <f t="shared" ref="N2:N33" si="7">+I2+$O$2</f>
        <v>14309.458064516128</v>
      </c>
      <c r="O2" s="27">
        <f>+P2*Q2*2/0.93</f>
        <v>14209.458064516128</v>
      </c>
      <c r="P2" s="26">
        <v>366</v>
      </c>
      <c r="Q2" s="26">
        <v>18.053000000000001</v>
      </c>
      <c r="R2" s="26"/>
      <c r="S2" s="26"/>
    </row>
    <row r="3" spans="1:19" x14ac:dyDescent="0.3">
      <c r="A3" s="10" t="s">
        <v>13</v>
      </c>
      <c r="B3" s="11" t="s">
        <v>14</v>
      </c>
      <c r="C3" s="12" t="s">
        <v>11</v>
      </c>
      <c r="D3" s="9" t="s">
        <v>12</v>
      </c>
      <c r="E3" s="26">
        <f>500</f>
        <v>500</v>
      </c>
      <c r="F3" s="26">
        <f t="shared" si="0"/>
        <v>300</v>
      </c>
      <c r="G3" s="26">
        <f t="shared" si="1"/>
        <v>200</v>
      </c>
      <c r="H3" s="26">
        <f t="shared" si="2"/>
        <v>150</v>
      </c>
      <c r="I3" s="26">
        <f t="shared" si="2"/>
        <v>100</v>
      </c>
      <c r="J3" s="26">
        <f t="shared" si="3"/>
        <v>14709.458064516128</v>
      </c>
      <c r="K3" s="26">
        <f t="shared" si="4"/>
        <v>14509.458064516128</v>
      </c>
      <c r="L3" s="26">
        <f t="shared" si="5"/>
        <v>14409.458064516128</v>
      </c>
      <c r="M3" s="26">
        <f t="shared" si="6"/>
        <v>14359.458064516128</v>
      </c>
      <c r="N3" s="26">
        <f t="shared" si="7"/>
        <v>14309.458064516128</v>
      </c>
      <c r="O3" s="26"/>
      <c r="P3" s="26"/>
      <c r="Q3" s="26"/>
      <c r="R3" s="26"/>
      <c r="S3" s="26"/>
    </row>
    <row r="4" spans="1:19" x14ac:dyDescent="0.3">
      <c r="A4" s="10" t="s">
        <v>15</v>
      </c>
      <c r="B4" s="11" t="s">
        <v>16</v>
      </c>
      <c r="C4" s="12" t="s">
        <v>11</v>
      </c>
      <c r="D4" s="9" t="s">
        <v>12</v>
      </c>
      <c r="E4" s="26">
        <f>500</f>
        <v>500</v>
      </c>
      <c r="F4" s="26">
        <f t="shared" si="0"/>
        <v>300</v>
      </c>
      <c r="G4" s="26">
        <f t="shared" si="1"/>
        <v>200</v>
      </c>
      <c r="H4" s="26">
        <f t="shared" si="2"/>
        <v>150</v>
      </c>
      <c r="I4" s="26">
        <f t="shared" si="2"/>
        <v>100</v>
      </c>
      <c r="J4" s="26">
        <f t="shared" si="3"/>
        <v>14709.458064516128</v>
      </c>
      <c r="K4" s="26">
        <f t="shared" si="4"/>
        <v>14509.458064516128</v>
      </c>
      <c r="L4" s="26">
        <f t="shared" si="5"/>
        <v>14409.458064516128</v>
      </c>
      <c r="M4" s="26">
        <f t="shared" si="6"/>
        <v>14359.458064516128</v>
      </c>
      <c r="N4" s="26">
        <f t="shared" si="7"/>
        <v>14309.458064516128</v>
      </c>
      <c r="O4" s="26"/>
    </row>
    <row r="5" spans="1:19" x14ac:dyDescent="0.3">
      <c r="A5" s="10" t="s">
        <v>17</v>
      </c>
      <c r="B5" s="11" t="s">
        <v>18</v>
      </c>
      <c r="C5" s="12" t="s">
        <v>11</v>
      </c>
      <c r="D5" s="9" t="s">
        <v>12</v>
      </c>
      <c r="E5" s="26">
        <f>500</f>
        <v>500</v>
      </c>
      <c r="F5" s="26">
        <f t="shared" si="0"/>
        <v>300</v>
      </c>
      <c r="G5" s="26">
        <f t="shared" si="1"/>
        <v>200</v>
      </c>
      <c r="H5" s="26">
        <f t="shared" si="2"/>
        <v>150</v>
      </c>
      <c r="I5" s="26">
        <f t="shared" si="2"/>
        <v>100</v>
      </c>
      <c r="J5" s="26">
        <f t="shared" si="3"/>
        <v>14709.458064516128</v>
      </c>
      <c r="K5" s="26">
        <f t="shared" si="4"/>
        <v>14509.458064516128</v>
      </c>
      <c r="L5" s="26">
        <f t="shared" si="5"/>
        <v>14409.458064516128</v>
      </c>
      <c r="M5" s="26">
        <f t="shared" si="6"/>
        <v>14359.458064516128</v>
      </c>
      <c r="N5" s="26">
        <f t="shared" si="7"/>
        <v>14309.458064516128</v>
      </c>
      <c r="O5" s="26"/>
    </row>
    <row r="6" spans="1:19" x14ac:dyDescent="0.3">
      <c r="A6" s="10" t="s">
        <v>19</v>
      </c>
      <c r="B6" s="11" t="s">
        <v>20</v>
      </c>
      <c r="C6" s="12" t="s">
        <v>11</v>
      </c>
      <c r="D6" s="9" t="s">
        <v>12</v>
      </c>
      <c r="E6" s="26">
        <f>500</f>
        <v>500</v>
      </c>
      <c r="F6" s="26">
        <f t="shared" si="0"/>
        <v>300</v>
      </c>
      <c r="G6" s="26">
        <f t="shared" si="1"/>
        <v>200</v>
      </c>
      <c r="H6" s="26">
        <f t="shared" si="2"/>
        <v>150</v>
      </c>
      <c r="I6" s="26">
        <f t="shared" si="2"/>
        <v>100</v>
      </c>
      <c r="J6" s="26">
        <f t="shared" si="3"/>
        <v>14709.458064516128</v>
      </c>
      <c r="K6" s="26">
        <f t="shared" si="4"/>
        <v>14509.458064516128</v>
      </c>
      <c r="L6" s="26">
        <f t="shared" si="5"/>
        <v>14409.458064516128</v>
      </c>
      <c r="M6" s="26">
        <f t="shared" si="6"/>
        <v>14359.458064516128</v>
      </c>
      <c r="N6" s="26">
        <f t="shared" si="7"/>
        <v>14309.458064516128</v>
      </c>
      <c r="O6" s="26"/>
    </row>
    <row r="7" spans="1:19" x14ac:dyDescent="0.3">
      <c r="A7" s="10" t="s">
        <v>21</v>
      </c>
      <c r="B7" s="11" t="s">
        <v>22</v>
      </c>
      <c r="C7" s="12" t="s">
        <v>11</v>
      </c>
      <c r="D7" s="9" t="s">
        <v>12</v>
      </c>
      <c r="E7" s="26">
        <f>500</f>
        <v>500</v>
      </c>
      <c r="F7" s="26">
        <f t="shared" si="0"/>
        <v>300</v>
      </c>
      <c r="G7" s="26">
        <f t="shared" si="1"/>
        <v>200</v>
      </c>
      <c r="H7" s="26">
        <f t="shared" si="2"/>
        <v>150</v>
      </c>
      <c r="I7" s="26">
        <f t="shared" si="2"/>
        <v>100</v>
      </c>
      <c r="J7" s="26">
        <f t="shared" si="3"/>
        <v>14709.458064516128</v>
      </c>
      <c r="K7" s="26">
        <f t="shared" si="4"/>
        <v>14509.458064516128</v>
      </c>
      <c r="L7" s="26">
        <f t="shared" si="5"/>
        <v>14409.458064516128</v>
      </c>
      <c r="M7" s="26">
        <f t="shared" si="6"/>
        <v>14359.458064516128</v>
      </c>
      <c r="N7" s="26">
        <f t="shared" si="7"/>
        <v>14309.458064516128</v>
      </c>
      <c r="O7" s="26"/>
    </row>
    <row r="8" spans="1:19" x14ac:dyDescent="0.3">
      <c r="A8" s="10" t="s">
        <v>23</v>
      </c>
      <c r="B8" s="11" t="s">
        <v>24</v>
      </c>
      <c r="C8" s="12" t="s">
        <v>11</v>
      </c>
      <c r="D8" s="9" t="s">
        <v>12</v>
      </c>
      <c r="E8" s="26">
        <f>500</f>
        <v>500</v>
      </c>
      <c r="F8" s="26">
        <f t="shared" si="0"/>
        <v>300</v>
      </c>
      <c r="G8" s="26">
        <f t="shared" si="1"/>
        <v>200</v>
      </c>
      <c r="H8" s="26">
        <f t="shared" si="2"/>
        <v>150</v>
      </c>
      <c r="I8" s="26">
        <f t="shared" si="2"/>
        <v>100</v>
      </c>
      <c r="J8" s="26">
        <f t="shared" si="3"/>
        <v>14709.458064516128</v>
      </c>
      <c r="K8" s="26">
        <f t="shared" si="4"/>
        <v>14509.458064516128</v>
      </c>
      <c r="L8" s="26">
        <f t="shared" si="5"/>
        <v>14409.458064516128</v>
      </c>
      <c r="M8" s="26">
        <f t="shared" si="6"/>
        <v>14359.458064516128</v>
      </c>
      <c r="N8" s="26">
        <f t="shared" si="7"/>
        <v>14309.458064516128</v>
      </c>
      <c r="O8" s="26"/>
    </row>
    <row r="9" spans="1:19" x14ac:dyDescent="0.3">
      <c r="A9" s="10" t="s">
        <v>25</v>
      </c>
      <c r="B9" s="11" t="s">
        <v>26</v>
      </c>
      <c r="C9" s="12" t="s">
        <v>11</v>
      </c>
      <c r="D9" s="9" t="s">
        <v>12</v>
      </c>
      <c r="E9" s="26">
        <f>500</f>
        <v>500</v>
      </c>
      <c r="F9" s="26">
        <f t="shared" si="0"/>
        <v>300</v>
      </c>
      <c r="G9" s="26">
        <f t="shared" si="1"/>
        <v>200</v>
      </c>
      <c r="H9" s="26">
        <f t="shared" si="2"/>
        <v>150</v>
      </c>
      <c r="I9" s="26">
        <f t="shared" si="2"/>
        <v>100</v>
      </c>
      <c r="J9" s="26">
        <f t="shared" si="3"/>
        <v>14709.458064516128</v>
      </c>
      <c r="K9" s="26">
        <f t="shared" si="4"/>
        <v>14509.458064516128</v>
      </c>
      <c r="L9" s="26">
        <f t="shared" si="5"/>
        <v>14409.458064516128</v>
      </c>
      <c r="M9" s="26">
        <f t="shared" si="6"/>
        <v>14359.458064516128</v>
      </c>
      <c r="N9" s="26">
        <f t="shared" si="7"/>
        <v>14309.458064516128</v>
      </c>
      <c r="O9" s="26"/>
    </row>
    <row r="10" spans="1:19" x14ac:dyDescent="0.3">
      <c r="A10" s="10" t="s">
        <v>27</v>
      </c>
      <c r="B10" s="11" t="s">
        <v>28</v>
      </c>
      <c r="C10" s="12" t="s">
        <v>11</v>
      </c>
      <c r="D10" s="9" t="s">
        <v>12</v>
      </c>
      <c r="E10" s="26">
        <f>500</f>
        <v>500</v>
      </c>
      <c r="F10" s="26">
        <f t="shared" si="0"/>
        <v>300</v>
      </c>
      <c r="G10" s="26">
        <f t="shared" si="1"/>
        <v>200</v>
      </c>
      <c r="H10" s="26">
        <f t="shared" si="2"/>
        <v>150</v>
      </c>
      <c r="I10" s="26">
        <f t="shared" si="2"/>
        <v>100</v>
      </c>
      <c r="J10" s="26">
        <f t="shared" si="3"/>
        <v>14709.458064516128</v>
      </c>
      <c r="K10" s="26">
        <f t="shared" si="4"/>
        <v>14509.458064516128</v>
      </c>
      <c r="L10" s="26">
        <f t="shared" si="5"/>
        <v>14409.458064516128</v>
      </c>
      <c r="M10" s="26">
        <f t="shared" si="6"/>
        <v>14359.458064516128</v>
      </c>
      <c r="N10" s="26">
        <f t="shared" si="7"/>
        <v>14309.458064516128</v>
      </c>
      <c r="O10" s="26"/>
    </row>
    <row r="11" spans="1:19" x14ac:dyDescent="0.3">
      <c r="A11" s="10" t="s">
        <v>29</v>
      </c>
      <c r="B11" s="11" t="s">
        <v>30</v>
      </c>
      <c r="C11" s="13" t="s">
        <v>11</v>
      </c>
      <c r="D11" s="9" t="s">
        <v>12</v>
      </c>
      <c r="E11" s="26">
        <f>500</f>
        <v>500</v>
      </c>
      <c r="F11" s="26">
        <f t="shared" si="0"/>
        <v>300</v>
      </c>
      <c r="G11" s="26">
        <f t="shared" si="1"/>
        <v>200</v>
      </c>
      <c r="H11" s="26">
        <f t="shared" si="2"/>
        <v>150</v>
      </c>
      <c r="I11" s="26">
        <f t="shared" si="2"/>
        <v>100</v>
      </c>
      <c r="J11" s="26">
        <f t="shared" si="3"/>
        <v>14709.458064516128</v>
      </c>
      <c r="K11" s="26">
        <f t="shared" si="4"/>
        <v>14509.458064516128</v>
      </c>
      <c r="L11" s="26">
        <f t="shared" si="5"/>
        <v>14409.458064516128</v>
      </c>
      <c r="M11" s="26">
        <f t="shared" si="6"/>
        <v>14359.458064516128</v>
      </c>
      <c r="N11" s="26">
        <f t="shared" si="7"/>
        <v>14309.458064516128</v>
      </c>
      <c r="O11" s="26"/>
    </row>
    <row r="12" spans="1:19" x14ac:dyDescent="0.3">
      <c r="A12" s="6" t="s">
        <v>31</v>
      </c>
      <c r="B12" s="7" t="s">
        <v>32</v>
      </c>
      <c r="C12" s="12" t="s">
        <v>33</v>
      </c>
      <c r="D12" s="9" t="s">
        <v>12</v>
      </c>
      <c r="E12" s="26">
        <f>400</f>
        <v>400</v>
      </c>
      <c r="F12" s="26">
        <f t="shared" si="0"/>
        <v>200</v>
      </c>
      <c r="G12" s="26">
        <f t="shared" si="1"/>
        <v>100</v>
      </c>
      <c r="H12" s="26">
        <f t="shared" si="2"/>
        <v>50</v>
      </c>
      <c r="I12" s="26">
        <f t="shared" si="2"/>
        <v>0</v>
      </c>
      <c r="J12" s="26">
        <f t="shared" si="3"/>
        <v>14609.458064516128</v>
      </c>
      <c r="K12" s="26">
        <f t="shared" si="4"/>
        <v>14409.458064516128</v>
      </c>
      <c r="L12" s="26">
        <f t="shared" si="5"/>
        <v>14309.458064516128</v>
      </c>
      <c r="M12" s="26">
        <f t="shared" si="6"/>
        <v>14259.458064516128</v>
      </c>
      <c r="N12" s="26">
        <f t="shared" si="7"/>
        <v>14209.458064516128</v>
      </c>
      <c r="O12" s="26"/>
    </row>
    <row r="13" spans="1:19" x14ac:dyDescent="0.3">
      <c r="A13" s="10" t="s">
        <v>34</v>
      </c>
      <c r="B13" s="11" t="s">
        <v>35</v>
      </c>
      <c r="C13" s="14" t="s">
        <v>33</v>
      </c>
      <c r="D13" s="9" t="s">
        <v>12</v>
      </c>
      <c r="E13" s="26">
        <f>400</f>
        <v>400</v>
      </c>
      <c r="F13" s="26">
        <f t="shared" si="0"/>
        <v>200</v>
      </c>
      <c r="G13" s="26">
        <f t="shared" si="1"/>
        <v>100</v>
      </c>
      <c r="H13" s="26">
        <f t="shared" si="2"/>
        <v>50</v>
      </c>
      <c r="I13" s="26">
        <f t="shared" si="2"/>
        <v>0</v>
      </c>
      <c r="J13" s="26">
        <f t="shared" si="3"/>
        <v>14609.458064516128</v>
      </c>
      <c r="K13" s="26">
        <f t="shared" si="4"/>
        <v>14409.458064516128</v>
      </c>
      <c r="L13" s="26">
        <f t="shared" si="5"/>
        <v>14309.458064516128</v>
      </c>
      <c r="M13" s="26">
        <f t="shared" si="6"/>
        <v>14259.458064516128</v>
      </c>
      <c r="N13" s="26">
        <f t="shared" si="7"/>
        <v>14209.458064516128</v>
      </c>
      <c r="O13" s="26"/>
    </row>
    <row r="14" spans="1:19" x14ac:dyDescent="0.3">
      <c r="A14" s="10" t="s">
        <v>36</v>
      </c>
      <c r="B14" s="11" t="s">
        <v>37</v>
      </c>
      <c r="C14" s="12" t="s">
        <v>33</v>
      </c>
      <c r="D14" s="9" t="s">
        <v>12</v>
      </c>
      <c r="E14" s="26">
        <f>400</f>
        <v>400</v>
      </c>
      <c r="F14" s="26">
        <f t="shared" si="0"/>
        <v>200</v>
      </c>
      <c r="G14" s="26">
        <f t="shared" si="1"/>
        <v>100</v>
      </c>
      <c r="H14" s="26">
        <f t="shared" si="2"/>
        <v>50</v>
      </c>
      <c r="I14" s="26">
        <f t="shared" si="2"/>
        <v>0</v>
      </c>
      <c r="J14" s="26">
        <f t="shared" si="3"/>
        <v>14609.458064516128</v>
      </c>
      <c r="K14" s="26">
        <f t="shared" si="4"/>
        <v>14409.458064516128</v>
      </c>
      <c r="L14" s="26">
        <f t="shared" si="5"/>
        <v>14309.458064516128</v>
      </c>
      <c r="M14" s="26">
        <f t="shared" si="6"/>
        <v>14259.458064516128</v>
      </c>
      <c r="N14" s="26">
        <f t="shared" si="7"/>
        <v>14209.458064516128</v>
      </c>
      <c r="O14" s="26"/>
    </row>
    <row r="15" spans="1:19" x14ac:dyDescent="0.3">
      <c r="A15" s="10" t="s">
        <v>38</v>
      </c>
      <c r="B15" s="11" t="s">
        <v>39</v>
      </c>
      <c r="C15" s="12" t="s">
        <v>33</v>
      </c>
      <c r="D15" s="9" t="s">
        <v>12</v>
      </c>
      <c r="E15" s="26">
        <f>400</f>
        <v>400</v>
      </c>
      <c r="F15" s="26">
        <f t="shared" si="0"/>
        <v>200</v>
      </c>
      <c r="G15" s="26">
        <f t="shared" si="1"/>
        <v>100</v>
      </c>
      <c r="H15" s="26">
        <f t="shared" si="2"/>
        <v>50</v>
      </c>
      <c r="I15" s="26">
        <f t="shared" si="2"/>
        <v>0</v>
      </c>
      <c r="J15" s="26">
        <f t="shared" si="3"/>
        <v>14609.458064516128</v>
      </c>
      <c r="K15" s="26">
        <f t="shared" si="4"/>
        <v>14409.458064516128</v>
      </c>
      <c r="L15" s="26">
        <f t="shared" si="5"/>
        <v>14309.458064516128</v>
      </c>
      <c r="M15" s="26">
        <f t="shared" si="6"/>
        <v>14259.458064516128</v>
      </c>
      <c r="N15" s="26">
        <f t="shared" si="7"/>
        <v>14209.458064516128</v>
      </c>
      <c r="O15" s="26"/>
    </row>
    <row r="16" spans="1:19" x14ac:dyDescent="0.3">
      <c r="A16" s="10" t="s">
        <v>40</v>
      </c>
      <c r="B16" s="11" t="s">
        <v>41</v>
      </c>
      <c r="C16" s="12" t="s">
        <v>33</v>
      </c>
      <c r="D16" s="9" t="s">
        <v>12</v>
      </c>
      <c r="E16" s="26">
        <f>400</f>
        <v>400</v>
      </c>
      <c r="F16" s="26">
        <f t="shared" si="0"/>
        <v>200</v>
      </c>
      <c r="G16" s="26">
        <f t="shared" si="1"/>
        <v>100</v>
      </c>
      <c r="H16" s="26">
        <f t="shared" si="2"/>
        <v>50</v>
      </c>
      <c r="I16" s="26">
        <f t="shared" si="2"/>
        <v>0</v>
      </c>
      <c r="J16" s="26">
        <f t="shared" si="3"/>
        <v>14609.458064516128</v>
      </c>
      <c r="K16" s="26">
        <f t="shared" si="4"/>
        <v>14409.458064516128</v>
      </c>
      <c r="L16" s="26">
        <f t="shared" si="5"/>
        <v>14309.458064516128</v>
      </c>
      <c r="M16" s="26">
        <f t="shared" si="6"/>
        <v>14259.458064516128</v>
      </c>
      <c r="N16" s="26">
        <f t="shared" si="7"/>
        <v>14209.458064516128</v>
      </c>
      <c r="O16" s="26"/>
    </row>
    <row r="17" spans="1:15" x14ac:dyDescent="0.3">
      <c r="A17" s="10" t="s">
        <v>42</v>
      </c>
      <c r="B17" s="11" t="s">
        <v>43</v>
      </c>
      <c r="C17" s="12" t="s">
        <v>33</v>
      </c>
      <c r="D17" s="9" t="s">
        <v>12</v>
      </c>
      <c r="E17" s="26">
        <f>400</f>
        <v>400</v>
      </c>
      <c r="F17" s="26">
        <f t="shared" si="0"/>
        <v>200</v>
      </c>
      <c r="G17" s="26">
        <f t="shared" si="1"/>
        <v>100</v>
      </c>
      <c r="H17" s="26">
        <f t="shared" si="2"/>
        <v>50</v>
      </c>
      <c r="I17" s="26">
        <f t="shared" si="2"/>
        <v>0</v>
      </c>
      <c r="J17" s="26">
        <f t="shared" si="3"/>
        <v>14609.458064516128</v>
      </c>
      <c r="K17" s="26">
        <f t="shared" si="4"/>
        <v>14409.458064516128</v>
      </c>
      <c r="L17" s="26">
        <f t="shared" si="5"/>
        <v>14309.458064516128</v>
      </c>
      <c r="M17" s="26">
        <f t="shared" si="6"/>
        <v>14259.458064516128</v>
      </c>
      <c r="N17" s="26">
        <f t="shared" si="7"/>
        <v>14209.458064516128</v>
      </c>
      <c r="O17" s="26"/>
    </row>
    <row r="18" spans="1:15" x14ac:dyDescent="0.3">
      <c r="A18" s="10" t="s">
        <v>44</v>
      </c>
      <c r="B18" s="11" t="s">
        <v>45</v>
      </c>
      <c r="C18" s="12" t="s">
        <v>33</v>
      </c>
      <c r="D18" s="9" t="s">
        <v>12</v>
      </c>
      <c r="E18" s="26">
        <f>400</f>
        <v>400</v>
      </c>
      <c r="F18" s="26">
        <f t="shared" si="0"/>
        <v>200</v>
      </c>
      <c r="G18" s="26">
        <f t="shared" si="1"/>
        <v>100</v>
      </c>
      <c r="H18" s="26">
        <f t="shared" si="2"/>
        <v>50</v>
      </c>
      <c r="I18" s="26">
        <f t="shared" si="2"/>
        <v>0</v>
      </c>
      <c r="J18" s="26">
        <f t="shared" si="3"/>
        <v>14609.458064516128</v>
      </c>
      <c r="K18" s="26">
        <f t="shared" si="4"/>
        <v>14409.458064516128</v>
      </c>
      <c r="L18" s="26">
        <f t="shared" si="5"/>
        <v>14309.458064516128</v>
      </c>
      <c r="M18" s="26">
        <f t="shared" si="6"/>
        <v>14259.458064516128</v>
      </c>
      <c r="N18" s="26">
        <f t="shared" si="7"/>
        <v>14209.458064516128</v>
      </c>
      <c r="O18" s="26"/>
    </row>
    <row r="19" spans="1:15" x14ac:dyDescent="0.3">
      <c r="A19" s="10" t="s">
        <v>46</v>
      </c>
      <c r="B19" s="11" t="s">
        <v>47</v>
      </c>
      <c r="C19" s="12" t="s">
        <v>33</v>
      </c>
      <c r="D19" s="9" t="s">
        <v>12</v>
      </c>
      <c r="E19" s="26">
        <f>400</f>
        <v>400</v>
      </c>
      <c r="F19" s="26">
        <f t="shared" si="0"/>
        <v>200</v>
      </c>
      <c r="G19" s="26">
        <f t="shared" si="1"/>
        <v>100</v>
      </c>
      <c r="H19" s="26">
        <f t="shared" si="2"/>
        <v>50</v>
      </c>
      <c r="I19" s="26">
        <f t="shared" si="2"/>
        <v>0</v>
      </c>
      <c r="J19" s="26">
        <f t="shared" si="3"/>
        <v>14609.458064516128</v>
      </c>
      <c r="K19" s="26">
        <f t="shared" si="4"/>
        <v>14409.458064516128</v>
      </c>
      <c r="L19" s="26">
        <f t="shared" si="5"/>
        <v>14309.458064516128</v>
      </c>
      <c r="M19" s="26">
        <f t="shared" si="6"/>
        <v>14259.458064516128</v>
      </c>
      <c r="N19" s="26">
        <f t="shared" si="7"/>
        <v>14209.458064516128</v>
      </c>
      <c r="O19" s="26"/>
    </row>
    <row r="20" spans="1:15" x14ac:dyDescent="0.3">
      <c r="A20" s="10" t="s">
        <v>48</v>
      </c>
      <c r="B20" s="11" t="s">
        <v>49</v>
      </c>
      <c r="C20" s="12" t="s">
        <v>50</v>
      </c>
      <c r="D20" s="9" t="s">
        <v>12</v>
      </c>
      <c r="E20" s="26">
        <f>300</f>
        <v>300</v>
      </c>
      <c r="F20" s="26">
        <f t="shared" si="0"/>
        <v>100</v>
      </c>
      <c r="G20" s="26">
        <f t="shared" si="1"/>
        <v>0</v>
      </c>
      <c r="H20" s="26">
        <f t="shared" si="2"/>
        <v>-50</v>
      </c>
      <c r="I20" s="26">
        <f t="shared" si="2"/>
        <v>-100</v>
      </c>
      <c r="J20" s="26">
        <f t="shared" si="3"/>
        <v>14509.458064516128</v>
      </c>
      <c r="K20" s="26">
        <f t="shared" si="4"/>
        <v>14309.458064516128</v>
      </c>
      <c r="L20" s="26">
        <f t="shared" si="5"/>
        <v>14209.458064516128</v>
      </c>
      <c r="M20" s="26">
        <f t="shared" si="6"/>
        <v>14159.458064516128</v>
      </c>
      <c r="N20" s="26">
        <f t="shared" si="7"/>
        <v>14109.458064516128</v>
      </c>
      <c r="O20" s="26"/>
    </row>
    <row r="21" spans="1:15" x14ac:dyDescent="0.3">
      <c r="A21" s="10" t="s">
        <v>51</v>
      </c>
      <c r="B21" s="11" t="s">
        <v>52</v>
      </c>
      <c r="C21" s="13" t="s">
        <v>50</v>
      </c>
      <c r="D21" s="9" t="s">
        <v>12</v>
      </c>
      <c r="E21" s="26">
        <f>300</f>
        <v>300</v>
      </c>
      <c r="F21" s="26">
        <f t="shared" si="0"/>
        <v>100</v>
      </c>
      <c r="G21" s="26">
        <f t="shared" si="1"/>
        <v>0</v>
      </c>
      <c r="H21" s="26">
        <f t="shared" si="2"/>
        <v>-50</v>
      </c>
      <c r="I21" s="26">
        <f t="shared" si="2"/>
        <v>-100</v>
      </c>
      <c r="J21" s="26">
        <f t="shared" si="3"/>
        <v>14509.458064516128</v>
      </c>
      <c r="K21" s="26">
        <f t="shared" si="4"/>
        <v>14309.458064516128</v>
      </c>
      <c r="L21" s="26">
        <f t="shared" si="5"/>
        <v>14209.458064516128</v>
      </c>
      <c r="M21" s="26">
        <f t="shared" si="6"/>
        <v>14159.458064516128</v>
      </c>
      <c r="N21" s="26">
        <f t="shared" si="7"/>
        <v>14109.458064516128</v>
      </c>
      <c r="O21" s="26"/>
    </row>
    <row r="22" spans="1:15" x14ac:dyDescent="0.3">
      <c r="A22" s="6" t="s">
        <v>53</v>
      </c>
      <c r="B22" s="7" t="s">
        <v>54</v>
      </c>
      <c r="C22" s="12" t="s">
        <v>50</v>
      </c>
      <c r="D22" s="9" t="s">
        <v>12</v>
      </c>
      <c r="E22" s="26">
        <f>300</f>
        <v>300</v>
      </c>
      <c r="F22" s="26">
        <f t="shared" si="0"/>
        <v>100</v>
      </c>
      <c r="G22" s="26">
        <f t="shared" si="1"/>
        <v>0</v>
      </c>
      <c r="H22" s="26">
        <f t="shared" ref="H22:I41" si="8">G22-50</f>
        <v>-50</v>
      </c>
      <c r="I22" s="26">
        <f t="shared" si="8"/>
        <v>-100</v>
      </c>
      <c r="J22" s="26">
        <f t="shared" si="3"/>
        <v>14509.458064516128</v>
      </c>
      <c r="K22" s="26">
        <f t="shared" si="4"/>
        <v>14309.458064516128</v>
      </c>
      <c r="L22" s="26">
        <f t="shared" si="5"/>
        <v>14209.458064516128</v>
      </c>
      <c r="M22" s="26">
        <f t="shared" si="6"/>
        <v>14159.458064516128</v>
      </c>
      <c r="N22" s="26">
        <f t="shared" si="7"/>
        <v>14109.458064516128</v>
      </c>
      <c r="O22" s="26"/>
    </row>
    <row r="23" spans="1:15" x14ac:dyDescent="0.3">
      <c r="A23" s="10" t="s">
        <v>55</v>
      </c>
      <c r="B23" s="11" t="s">
        <v>56</v>
      </c>
      <c r="C23" s="14" t="s">
        <v>50</v>
      </c>
      <c r="D23" s="9" t="s">
        <v>12</v>
      </c>
      <c r="E23" s="26">
        <f>300</f>
        <v>300</v>
      </c>
      <c r="F23" s="26">
        <f t="shared" si="0"/>
        <v>100</v>
      </c>
      <c r="G23" s="26">
        <f t="shared" si="1"/>
        <v>0</v>
      </c>
      <c r="H23" s="26">
        <f t="shared" si="8"/>
        <v>-50</v>
      </c>
      <c r="I23" s="26">
        <f t="shared" si="8"/>
        <v>-100</v>
      </c>
      <c r="J23" s="26">
        <f t="shared" si="3"/>
        <v>14509.458064516128</v>
      </c>
      <c r="K23" s="26">
        <f t="shared" si="4"/>
        <v>14309.458064516128</v>
      </c>
      <c r="L23" s="26">
        <f t="shared" si="5"/>
        <v>14209.458064516128</v>
      </c>
      <c r="M23" s="26">
        <f t="shared" si="6"/>
        <v>14159.458064516128</v>
      </c>
      <c r="N23" s="26">
        <f t="shared" si="7"/>
        <v>14109.458064516128</v>
      </c>
      <c r="O23" s="26"/>
    </row>
    <row r="24" spans="1:15" x14ac:dyDescent="0.3">
      <c r="A24" s="10" t="s">
        <v>57</v>
      </c>
      <c r="B24" s="11" t="s">
        <v>58</v>
      </c>
      <c r="C24" s="12" t="s">
        <v>50</v>
      </c>
      <c r="D24" s="9" t="s">
        <v>12</v>
      </c>
      <c r="E24" s="26">
        <f>300</f>
        <v>300</v>
      </c>
      <c r="F24" s="26">
        <f t="shared" si="0"/>
        <v>100</v>
      </c>
      <c r="G24" s="26">
        <f t="shared" si="1"/>
        <v>0</v>
      </c>
      <c r="H24" s="26">
        <f t="shared" si="8"/>
        <v>-50</v>
      </c>
      <c r="I24" s="26">
        <f t="shared" si="8"/>
        <v>-100</v>
      </c>
      <c r="J24" s="26">
        <f t="shared" si="3"/>
        <v>14509.458064516128</v>
      </c>
      <c r="K24" s="26">
        <f t="shared" si="4"/>
        <v>14309.458064516128</v>
      </c>
      <c r="L24" s="26">
        <f t="shared" si="5"/>
        <v>14209.458064516128</v>
      </c>
      <c r="M24" s="26">
        <f t="shared" si="6"/>
        <v>14159.458064516128</v>
      </c>
      <c r="N24" s="26">
        <f t="shared" si="7"/>
        <v>14109.458064516128</v>
      </c>
      <c r="O24" s="26"/>
    </row>
    <row r="25" spans="1:15" x14ac:dyDescent="0.3">
      <c r="A25" s="10" t="s">
        <v>59</v>
      </c>
      <c r="B25" s="11" t="s">
        <v>60</v>
      </c>
      <c r="C25" s="12" t="s">
        <v>50</v>
      </c>
      <c r="D25" s="9" t="s">
        <v>12</v>
      </c>
      <c r="E25" s="26">
        <f>300</f>
        <v>300</v>
      </c>
      <c r="F25" s="26">
        <f t="shared" si="0"/>
        <v>100</v>
      </c>
      <c r="G25" s="26">
        <f t="shared" si="1"/>
        <v>0</v>
      </c>
      <c r="H25" s="26">
        <f t="shared" si="8"/>
        <v>-50</v>
      </c>
      <c r="I25" s="26">
        <f t="shared" si="8"/>
        <v>-100</v>
      </c>
      <c r="J25" s="26">
        <f t="shared" si="3"/>
        <v>14509.458064516128</v>
      </c>
      <c r="K25" s="26">
        <f t="shared" si="4"/>
        <v>14309.458064516128</v>
      </c>
      <c r="L25" s="26">
        <f t="shared" si="5"/>
        <v>14209.458064516128</v>
      </c>
      <c r="M25" s="26">
        <f t="shared" si="6"/>
        <v>14159.458064516128</v>
      </c>
      <c r="N25" s="26">
        <f t="shared" si="7"/>
        <v>14109.458064516128</v>
      </c>
      <c r="O25" s="26"/>
    </row>
    <row r="26" spans="1:15" x14ac:dyDescent="0.3">
      <c r="A26" s="10" t="s">
        <v>61</v>
      </c>
      <c r="B26" s="11" t="s">
        <v>62</v>
      </c>
      <c r="C26" s="12" t="s">
        <v>50</v>
      </c>
      <c r="D26" s="9" t="s">
        <v>12</v>
      </c>
      <c r="E26" s="26">
        <f>300</f>
        <v>300</v>
      </c>
      <c r="F26" s="26">
        <f t="shared" si="0"/>
        <v>100</v>
      </c>
      <c r="G26" s="26">
        <f t="shared" si="1"/>
        <v>0</v>
      </c>
      <c r="H26" s="26">
        <f t="shared" si="8"/>
        <v>-50</v>
      </c>
      <c r="I26" s="26">
        <f t="shared" si="8"/>
        <v>-100</v>
      </c>
      <c r="J26" s="26">
        <f t="shared" si="3"/>
        <v>14509.458064516128</v>
      </c>
      <c r="K26" s="26">
        <f t="shared" si="4"/>
        <v>14309.458064516128</v>
      </c>
      <c r="L26" s="26">
        <f t="shared" si="5"/>
        <v>14209.458064516128</v>
      </c>
      <c r="M26" s="26">
        <f t="shared" si="6"/>
        <v>14159.458064516128</v>
      </c>
      <c r="N26" s="26">
        <f t="shared" si="7"/>
        <v>14109.458064516128</v>
      </c>
      <c r="O26" s="26"/>
    </row>
    <row r="27" spans="1:15" x14ac:dyDescent="0.3">
      <c r="A27" s="10" t="s">
        <v>63</v>
      </c>
      <c r="B27" s="11" t="s">
        <v>64</v>
      </c>
      <c r="C27" s="12" t="s">
        <v>50</v>
      </c>
      <c r="D27" s="9" t="s">
        <v>12</v>
      </c>
      <c r="E27" s="26">
        <f>300</f>
        <v>300</v>
      </c>
      <c r="F27" s="26">
        <f t="shared" si="0"/>
        <v>100</v>
      </c>
      <c r="G27" s="26">
        <f t="shared" si="1"/>
        <v>0</v>
      </c>
      <c r="H27" s="26">
        <f t="shared" si="8"/>
        <v>-50</v>
      </c>
      <c r="I27" s="26">
        <f t="shared" si="8"/>
        <v>-100</v>
      </c>
      <c r="J27" s="26">
        <f t="shared" si="3"/>
        <v>14509.458064516128</v>
      </c>
      <c r="K27" s="26">
        <f t="shared" si="4"/>
        <v>14309.458064516128</v>
      </c>
      <c r="L27" s="26">
        <f t="shared" si="5"/>
        <v>14209.458064516128</v>
      </c>
      <c r="M27" s="26">
        <f t="shared" si="6"/>
        <v>14159.458064516128</v>
      </c>
      <c r="N27" s="26">
        <f t="shared" si="7"/>
        <v>14109.458064516128</v>
      </c>
      <c r="O27" s="26"/>
    </row>
    <row r="28" spans="1:15" x14ac:dyDescent="0.3">
      <c r="A28" s="10" t="s">
        <v>65</v>
      </c>
      <c r="B28" s="11" t="s">
        <v>66</v>
      </c>
      <c r="C28" s="12" t="s">
        <v>50</v>
      </c>
      <c r="D28" s="9" t="s">
        <v>12</v>
      </c>
      <c r="E28" s="26">
        <f>300</f>
        <v>300</v>
      </c>
      <c r="F28" s="26">
        <f t="shared" si="0"/>
        <v>100</v>
      </c>
      <c r="G28" s="26">
        <f t="shared" si="1"/>
        <v>0</v>
      </c>
      <c r="H28" s="26">
        <f t="shared" si="8"/>
        <v>-50</v>
      </c>
      <c r="I28" s="26">
        <f t="shared" si="8"/>
        <v>-100</v>
      </c>
      <c r="J28" s="26">
        <f t="shared" si="3"/>
        <v>14509.458064516128</v>
      </c>
      <c r="K28" s="26">
        <f t="shared" si="4"/>
        <v>14309.458064516128</v>
      </c>
      <c r="L28" s="26">
        <f t="shared" si="5"/>
        <v>14209.458064516128</v>
      </c>
      <c r="M28" s="26">
        <f t="shared" si="6"/>
        <v>14159.458064516128</v>
      </c>
      <c r="N28" s="26">
        <f t="shared" si="7"/>
        <v>14109.458064516128</v>
      </c>
      <c r="O28" s="26"/>
    </row>
    <row r="29" spans="1:15" x14ac:dyDescent="0.3">
      <c r="A29" s="10" t="s">
        <v>67</v>
      </c>
      <c r="B29" s="11" t="s">
        <v>68</v>
      </c>
      <c r="C29" s="12" t="s">
        <v>50</v>
      </c>
      <c r="D29" s="9" t="s">
        <v>12</v>
      </c>
      <c r="E29" s="26">
        <f>300</f>
        <v>300</v>
      </c>
      <c r="F29" s="26">
        <f t="shared" si="0"/>
        <v>100</v>
      </c>
      <c r="G29" s="26">
        <f t="shared" si="1"/>
        <v>0</v>
      </c>
      <c r="H29" s="26">
        <f t="shared" si="8"/>
        <v>-50</v>
      </c>
      <c r="I29" s="26">
        <f t="shared" si="8"/>
        <v>-100</v>
      </c>
      <c r="J29" s="26">
        <f t="shared" si="3"/>
        <v>14509.458064516128</v>
      </c>
      <c r="K29" s="26">
        <f t="shared" si="4"/>
        <v>14309.458064516128</v>
      </c>
      <c r="L29" s="26">
        <f t="shared" si="5"/>
        <v>14209.458064516128</v>
      </c>
      <c r="M29" s="26">
        <f t="shared" si="6"/>
        <v>14159.458064516128</v>
      </c>
      <c r="N29" s="26">
        <f t="shared" si="7"/>
        <v>14109.458064516128</v>
      </c>
      <c r="O29" s="26"/>
    </row>
    <row r="30" spans="1:15" x14ac:dyDescent="0.3">
      <c r="A30" s="10" t="s">
        <v>69</v>
      </c>
      <c r="B30" s="11" t="s">
        <v>70</v>
      </c>
      <c r="C30" s="12" t="s">
        <v>50</v>
      </c>
      <c r="D30" s="9" t="s">
        <v>12</v>
      </c>
      <c r="E30" s="26">
        <f>300</f>
        <v>300</v>
      </c>
      <c r="F30" s="26">
        <f t="shared" si="0"/>
        <v>100</v>
      </c>
      <c r="G30" s="26">
        <f t="shared" si="1"/>
        <v>0</v>
      </c>
      <c r="H30" s="26">
        <f t="shared" si="8"/>
        <v>-50</v>
      </c>
      <c r="I30" s="26">
        <f t="shared" si="8"/>
        <v>-100</v>
      </c>
      <c r="J30" s="26">
        <f t="shared" si="3"/>
        <v>14509.458064516128</v>
      </c>
      <c r="K30" s="26">
        <f t="shared" si="4"/>
        <v>14309.458064516128</v>
      </c>
      <c r="L30" s="26">
        <f t="shared" si="5"/>
        <v>14209.458064516128</v>
      </c>
      <c r="M30" s="26">
        <f t="shared" si="6"/>
        <v>14159.458064516128</v>
      </c>
      <c r="N30" s="26">
        <f t="shared" si="7"/>
        <v>14109.458064516128</v>
      </c>
      <c r="O30" s="26"/>
    </row>
    <row r="31" spans="1:15" x14ac:dyDescent="0.3">
      <c r="A31" s="10" t="s">
        <v>71</v>
      </c>
      <c r="B31" s="11" t="s">
        <v>72</v>
      </c>
      <c r="C31" s="12" t="s">
        <v>50</v>
      </c>
      <c r="D31" s="9" t="s">
        <v>12</v>
      </c>
      <c r="E31" s="26">
        <f>300</f>
        <v>300</v>
      </c>
      <c r="F31" s="26">
        <f t="shared" si="0"/>
        <v>100</v>
      </c>
      <c r="G31" s="26">
        <f t="shared" si="1"/>
        <v>0</v>
      </c>
      <c r="H31" s="26">
        <f t="shared" si="8"/>
        <v>-50</v>
      </c>
      <c r="I31" s="26">
        <f t="shared" si="8"/>
        <v>-100</v>
      </c>
      <c r="J31" s="26">
        <f t="shared" si="3"/>
        <v>14509.458064516128</v>
      </c>
      <c r="K31" s="26">
        <f t="shared" si="4"/>
        <v>14309.458064516128</v>
      </c>
      <c r="L31" s="26">
        <f t="shared" si="5"/>
        <v>14209.458064516128</v>
      </c>
      <c r="M31" s="26">
        <f t="shared" si="6"/>
        <v>14159.458064516128</v>
      </c>
      <c r="N31" s="26">
        <f t="shared" si="7"/>
        <v>14109.458064516128</v>
      </c>
      <c r="O31" s="26"/>
    </row>
    <row r="32" spans="1:15" x14ac:dyDescent="0.3">
      <c r="A32" s="10" t="s">
        <v>73</v>
      </c>
      <c r="B32" s="11" t="s">
        <v>74</v>
      </c>
      <c r="C32" s="12" t="s">
        <v>75</v>
      </c>
      <c r="D32" s="9" t="s">
        <v>12</v>
      </c>
      <c r="E32" s="26">
        <f>300</f>
        <v>300</v>
      </c>
      <c r="F32" s="26">
        <f t="shared" si="0"/>
        <v>100</v>
      </c>
      <c r="G32" s="26">
        <f t="shared" si="1"/>
        <v>0</v>
      </c>
      <c r="H32" s="26">
        <f t="shared" si="8"/>
        <v>-50</v>
      </c>
      <c r="I32" s="26">
        <f t="shared" si="8"/>
        <v>-100</v>
      </c>
      <c r="J32" s="26">
        <f t="shared" si="3"/>
        <v>14509.458064516128</v>
      </c>
      <c r="K32" s="26">
        <f t="shared" si="4"/>
        <v>14309.458064516128</v>
      </c>
      <c r="L32" s="26">
        <f t="shared" si="5"/>
        <v>14209.458064516128</v>
      </c>
      <c r="M32" s="26">
        <f t="shared" si="6"/>
        <v>14159.458064516128</v>
      </c>
      <c r="N32" s="26">
        <f t="shared" si="7"/>
        <v>14109.458064516128</v>
      </c>
      <c r="O32" s="26"/>
    </row>
    <row r="33" spans="1:15" x14ac:dyDescent="0.3">
      <c r="A33" s="10" t="s">
        <v>76</v>
      </c>
      <c r="B33" s="11" t="s">
        <v>77</v>
      </c>
      <c r="C33" s="12" t="s">
        <v>75</v>
      </c>
      <c r="D33" s="9" t="s">
        <v>12</v>
      </c>
      <c r="E33" s="26">
        <f>300</f>
        <v>300</v>
      </c>
      <c r="F33" s="26">
        <f t="shared" si="0"/>
        <v>100</v>
      </c>
      <c r="G33" s="26">
        <f t="shared" si="1"/>
        <v>0</v>
      </c>
      <c r="H33" s="26">
        <f t="shared" si="8"/>
        <v>-50</v>
      </c>
      <c r="I33" s="26">
        <f t="shared" si="8"/>
        <v>-100</v>
      </c>
      <c r="J33" s="26">
        <f t="shared" si="3"/>
        <v>14509.458064516128</v>
      </c>
      <c r="K33" s="26">
        <f t="shared" si="4"/>
        <v>14309.458064516128</v>
      </c>
      <c r="L33" s="26">
        <f t="shared" si="5"/>
        <v>14209.458064516128</v>
      </c>
      <c r="M33" s="26">
        <f t="shared" si="6"/>
        <v>14159.458064516128</v>
      </c>
      <c r="N33" s="26">
        <f t="shared" si="7"/>
        <v>14109.458064516128</v>
      </c>
      <c r="O33" s="26"/>
    </row>
    <row r="34" spans="1:15" x14ac:dyDescent="0.3">
      <c r="A34" s="10" t="s">
        <v>78</v>
      </c>
      <c r="B34" s="11" t="s">
        <v>79</v>
      </c>
      <c r="C34" s="12" t="s">
        <v>75</v>
      </c>
      <c r="D34" s="9" t="s">
        <v>12</v>
      </c>
      <c r="E34" s="26">
        <f>300</f>
        <v>300</v>
      </c>
      <c r="F34" s="26">
        <f t="shared" ref="F34:F65" si="9">IF(E34&gt;0,E34-200,E34)</f>
        <v>100</v>
      </c>
      <c r="G34" s="26">
        <f t="shared" ref="G34:G65" si="10">F34-100</f>
        <v>0</v>
      </c>
      <c r="H34" s="26">
        <f t="shared" si="8"/>
        <v>-50</v>
      </c>
      <c r="I34" s="26">
        <f t="shared" si="8"/>
        <v>-100</v>
      </c>
      <c r="J34" s="26">
        <f t="shared" ref="J34:J65" si="11">+E34+$O$2</f>
        <v>14509.458064516128</v>
      </c>
      <c r="K34" s="26">
        <f t="shared" ref="K34:K65" si="12">+F34+$O$2</f>
        <v>14309.458064516128</v>
      </c>
      <c r="L34" s="26">
        <f t="shared" ref="L34:L65" si="13">+G34+$O$2</f>
        <v>14209.458064516128</v>
      </c>
      <c r="M34" s="26">
        <f t="shared" ref="M34:M65" si="14">+H34+$O$2</f>
        <v>14159.458064516128</v>
      </c>
      <c r="N34" s="26">
        <f t="shared" ref="N34:N65" si="15">+I34+$O$2</f>
        <v>14109.458064516128</v>
      </c>
      <c r="O34" s="26"/>
    </row>
    <row r="35" spans="1:15" x14ac:dyDescent="0.3">
      <c r="A35" s="10" t="s">
        <v>80</v>
      </c>
      <c r="B35" s="11" t="s">
        <v>81</v>
      </c>
      <c r="C35" s="12" t="s">
        <v>75</v>
      </c>
      <c r="D35" s="9" t="s">
        <v>12</v>
      </c>
      <c r="E35" s="26">
        <f>300</f>
        <v>300</v>
      </c>
      <c r="F35" s="26">
        <f t="shared" si="9"/>
        <v>100</v>
      </c>
      <c r="G35" s="26">
        <f t="shared" si="10"/>
        <v>0</v>
      </c>
      <c r="H35" s="26">
        <f t="shared" si="8"/>
        <v>-50</v>
      </c>
      <c r="I35" s="26">
        <f t="shared" si="8"/>
        <v>-100</v>
      </c>
      <c r="J35" s="26">
        <f t="shared" si="11"/>
        <v>14509.458064516128</v>
      </c>
      <c r="K35" s="26">
        <f t="shared" si="12"/>
        <v>14309.458064516128</v>
      </c>
      <c r="L35" s="26">
        <f t="shared" si="13"/>
        <v>14209.458064516128</v>
      </c>
      <c r="M35" s="26">
        <f t="shared" si="14"/>
        <v>14159.458064516128</v>
      </c>
      <c r="N35" s="26">
        <f t="shared" si="15"/>
        <v>14109.458064516128</v>
      </c>
      <c r="O35" s="26"/>
    </row>
    <row r="36" spans="1:15" x14ac:dyDescent="0.3">
      <c r="A36" s="10" t="s">
        <v>82</v>
      </c>
      <c r="B36" s="11" t="s">
        <v>83</v>
      </c>
      <c r="C36" s="12" t="s">
        <v>75</v>
      </c>
      <c r="D36" s="9" t="s">
        <v>12</v>
      </c>
      <c r="E36" s="26">
        <f>300</f>
        <v>300</v>
      </c>
      <c r="F36" s="26">
        <f t="shared" si="9"/>
        <v>100</v>
      </c>
      <c r="G36" s="26">
        <f t="shared" si="10"/>
        <v>0</v>
      </c>
      <c r="H36" s="26">
        <f t="shared" si="8"/>
        <v>-50</v>
      </c>
      <c r="I36" s="26">
        <f t="shared" si="8"/>
        <v>-100</v>
      </c>
      <c r="J36" s="26">
        <f t="shared" si="11"/>
        <v>14509.458064516128</v>
      </c>
      <c r="K36" s="26">
        <f t="shared" si="12"/>
        <v>14309.458064516128</v>
      </c>
      <c r="L36" s="26">
        <f t="shared" si="13"/>
        <v>14209.458064516128</v>
      </c>
      <c r="M36" s="26">
        <f t="shared" si="14"/>
        <v>14159.458064516128</v>
      </c>
      <c r="N36" s="26">
        <f t="shared" si="15"/>
        <v>14109.458064516128</v>
      </c>
      <c r="O36" s="26"/>
    </row>
    <row r="37" spans="1:15" x14ac:dyDescent="0.3">
      <c r="A37" s="10" t="s">
        <v>84</v>
      </c>
      <c r="B37" s="11" t="s">
        <v>85</v>
      </c>
      <c r="C37" s="12" t="s">
        <v>75</v>
      </c>
      <c r="D37" s="9" t="s">
        <v>12</v>
      </c>
      <c r="E37" s="26">
        <f>300</f>
        <v>300</v>
      </c>
      <c r="F37" s="26">
        <f t="shared" si="9"/>
        <v>100</v>
      </c>
      <c r="G37" s="26">
        <f t="shared" si="10"/>
        <v>0</v>
      </c>
      <c r="H37" s="26">
        <f t="shared" si="8"/>
        <v>-50</v>
      </c>
      <c r="I37" s="26">
        <f t="shared" si="8"/>
        <v>-100</v>
      </c>
      <c r="J37" s="26">
        <f t="shared" si="11"/>
        <v>14509.458064516128</v>
      </c>
      <c r="K37" s="26">
        <f t="shared" si="12"/>
        <v>14309.458064516128</v>
      </c>
      <c r="L37" s="26">
        <f t="shared" si="13"/>
        <v>14209.458064516128</v>
      </c>
      <c r="M37" s="26">
        <f t="shared" si="14"/>
        <v>14159.458064516128</v>
      </c>
      <c r="N37" s="26">
        <f t="shared" si="15"/>
        <v>14109.458064516128</v>
      </c>
      <c r="O37" s="26"/>
    </row>
    <row r="38" spans="1:15" x14ac:dyDescent="0.3">
      <c r="A38" s="10" t="s">
        <v>86</v>
      </c>
      <c r="B38" s="11" t="s">
        <v>87</v>
      </c>
      <c r="C38" s="12" t="s">
        <v>75</v>
      </c>
      <c r="D38" s="9" t="s">
        <v>12</v>
      </c>
      <c r="E38" s="26">
        <f>300</f>
        <v>300</v>
      </c>
      <c r="F38" s="26">
        <f t="shared" si="9"/>
        <v>100</v>
      </c>
      <c r="G38" s="26">
        <f t="shared" si="10"/>
        <v>0</v>
      </c>
      <c r="H38" s="26">
        <f t="shared" si="8"/>
        <v>-50</v>
      </c>
      <c r="I38" s="26">
        <f t="shared" si="8"/>
        <v>-100</v>
      </c>
      <c r="J38" s="26">
        <f t="shared" si="11"/>
        <v>14509.458064516128</v>
      </c>
      <c r="K38" s="26">
        <f t="shared" si="12"/>
        <v>14309.458064516128</v>
      </c>
      <c r="L38" s="26">
        <f t="shared" si="13"/>
        <v>14209.458064516128</v>
      </c>
      <c r="M38" s="26">
        <f t="shared" si="14"/>
        <v>14159.458064516128</v>
      </c>
      <c r="N38" s="26">
        <f t="shared" si="15"/>
        <v>14109.458064516128</v>
      </c>
      <c r="O38" s="26"/>
    </row>
    <row r="39" spans="1:15" x14ac:dyDescent="0.3">
      <c r="A39" s="10" t="s">
        <v>88</v>
      </c>
      <c r="B39" s="11" t="s">
        <v>89</v>
      </c>
      <c r="C39" s="12" t="s">
        <v>75</v>
      </c>
      <c r="D39" s="9" t="s">
        <v>12</v>
      </c>
      <c r="E39" s="26">
        <f>300</f>
        <v>300</v>
      </c>
      <c r="F39" s="26">
        <f t="shared" si="9"/>
        <v>100</v>
      </c>
      <c r="G39" s="26">
        <f t="shared" si="10"/>
        <v>0</v>
      </c>
      <c r="H39" s="26">
        <f t="shared" si="8"/>
        <v>-50</v>
      </c>
      <c r="I39" s="26">
        <f t="shared" si="8"/>
        <v>-100</v>
      </c>
      <c r="J39" s="26">
        <f t="shared" si="11"/>
        <v>14509.458064516128</v>
      </c>
      <c r="K39" s="26">
        <f t="shared" si="12"/>
        <v>14309.458064516128</v>
      </c>
      <c r="L39" s="26">
        <f t="shared" si="13"/>
        <v>14209.458064516128</v>
      </c>
      <c r="M39" s="26">
        <f t="shared" si="14"/>
        <v>14159.458064516128</v>
      </c>
      <c r="N39" s="26">
        <f t="shared" si="15"/>
        <v>14109.458064516128</v>
      </c>
      <c r="O39" s="26"/>
    </row>
    <row r="40" spans="1:15" x14ac:dyDescent="0.3">
      <c r="A40" s="10" t="s">
        <v>90</v>
      </c>
      <c r="B40" s="11" t="s">
        <v>91</v>
      </c>
      <c r="C40" s="12" t="s">
        <v>75</v>
      </c>
      <c r="D40" s="9" t="s">
        <v>12</v>
      </c>
      <c r="E40" s="26">
        <f>300</f>
        <v>300</v>
      </c>
      <c r="F40" s="26">
        <f t="shared" si="9"/>
        <v>100</v>
      </c>
      <c r="G40" s="26">
        <f t="shared" si="10"/>
        <v>0</v>
      </c>
      <c r="H40" s="26">
        <f t="shared" si="8"/>
        <v>-50</v>
      </c>
      <c r="I40" s="26">
        <f t="shared" si="8"/>
        <v>-100</v>
      </c>
      <c r="J40" s="26">
        <f t="shared" si="11"/>
        <v>14509.458064516128</v>
      </c>
      <c r="K40" s="26">
        <f t="shared" si="12"/>
        <v>14309.458064516128</v>
      </c>
      <c r="L40" s="26">
        <f t="shared" si="13"/>
        <v>14209.458064516128</v>
      </c>
      <c r="M40" s="26">
        <f t="shared" si="14"/>
        <v>14159.458064516128</v>
      </c>
      <c r="N40" s="26">
        <f t="shared" si="15"/>
        <v>14109.458064516128</v>
      </c>
      <c r="O40" s="26"/>
    </row>
    <row r="41" spans="1:15" x14ac:dyDescent="0.3">
      <c r="A41" s="10" t="s">
        <v>92</v>
      </c>
      <c r="B41" s="11" t="s">
        <v>93</v>
      </c>
      <c r="C41" s="12" t="s">
        <v>94</v>
      </c>
      <c r="D41" s="9" t="s">
        <v>12</v>
      </c>
      <c r="E41" s="26">
        <f>200</f>
        <v>200</v>
      </c>
      <c r="F41" s="26">
        <f t="shared" si="9"/>
        <v>0</v>
      </c>
      <c r="G41" s="26">
        <f t="shared" si="10"/>
        <v>-100</v>
      </c>
      <c r="H41" s="26">
        <f t="shared" si="8"/>
        <v>-150</v>
      </c>
      <c r="I41" s="26">
        <f t="shared" si="8"/>
        <v>-200</v>
      </c>
      <c r="J41" s="26">
        <f t="shared" si="11"/>
        <v>14409.458064516128</v>
      </c>
      <c r="K41" s="26">
        <f t="shared" si="12"/>
        <v>14209.458064516128</v>
      </c>
      <c r="L41" s="26">
        <f t="shared" si="13"/>
        <v>14109.458064516128</v>
      </c>
      <c r="M41" s="26">
        <f t="shared" si="14"/>
        <v>14059.458064516128</v>
      </c>
      <c r="N41" s="26">
        <f t="shared" si="15"/>
        <v>14009.458064516128</v>
      </c>
      <c r="O41" s="26"/>
    </row>
    <row r="42" spans="1:15" x14ac:dyDescent="0.3">
      <c r="A42" s="10" t="s">
        <v>95</v>
      </c>
      <c r="B42" s="11" t="s">
        <v>96</v>
      </c>
      <c r="C42" s="12" t="s">
        <v>94</v>
      </c>
      <c r="D42" s="9" t="s">
        <v>12</v>
      </c>
      <c r="E42" s="26">
        <f>200</f>
        <v>200</v>
      </c>
      <c r="F42" s="26">
        <f t="shared" si="9"/>
        <v>0</v>
      </c>
      <c r="G42" s="26">
        <f t="shared" si="10"/>
        <v>-100</v>
      </c>
      <c r="H42" s="26">
        <f t="shared" ref="H42:I61" si="16">G42-50</f>
        <v>-150</v>
      </c>
      <c r="I42" s="26">
        <f t="shared" si="16"/>
        <v>-200</v>
      </c>
      <c r="J42" s="26">
        <f t="shared" si="11"/>
        <v>14409.458064516128</v>
      </c>
      <c r="K42" s="26">
        <f t="shared" si="12"/>
        <v>14209.458064516128</v>
      </c>
      <c r="L42" s="26">
        <f t="shared" si="13"/>
        <v>14109.458064516128</v>
      </c>
      <c r="M42" s="26">
        <f t="shared" si="14"/>
        <v>14059.458064516128</v>
      </c>
      <c r="N42" s="26">
        <f t="shared" si="15"/>
        <v>14009.458064516128</v>
      </c>
      <c r="O42" s="26"/>
    </row>
    <row r="43" spans="1:15" x14ac:dyDescent="0.3">
      <c r="A43" s="10" t="s">
        <v>97</v>
      </c>
      <c r="B43" s="11" t="s">
        <v>98</v>
      </c>
      <c r="C43" s="12" t="s">
        <v>94</v>
      </c>
      <c r="D43" s="9" t="s">
        <v>12</v>
      </c>
      <c r="E43" s="26">
        <f>400</f>
        <v>400</v>
      </c>
      <c r="F43" s="26">
        <f t="shared" si="9"/>
        <v>200</v>
      </c>
      <c r="G43" s="26">
        <f t="shared" si="10"/>
        <v>100</v>
      </c>
      <c r="H43" s="26">
        <f t="shared" si="16"/>
        <v>50</v>
      </c>
      <c r="I43" s="26">
        <f t="shared" si="16"/>
        <v>0</v>
      </c>
      <c r="J43" s="26">
        <f t="shared" si="11"/>
        <v>14609.458064516128</v>
      </c>
      <c r="K43" s="26">
        <f t="shared" si="12"/>
        <v>14409.458064516128</v>
      </c>
      <c r="L43" s="26">
        <f t="shared" si="13"/>
        <v>14309.458064516128</v>
      </c>
      <c r="M43" s="26">
        <f t="shared" si="14"/>
        <v>14259.458064516128</v>
      </c>
      <c r="N43" s="26">
        <f t="shared" si="15"/>
        <v>14209.458064516128</v>
      </c>
      <c r="O43" s="26"/>
    </row>
    <row r="44" spans="1:15" x14ac:dyDescent="0.3">
      <c r="A44" s="10" t="s">
        <v>99</v>
      </c>
      <c r="B44" s="11" t="s">
        <v>100</v>
      </c>
      <c r="C44" s="12" t="s">
        <v>94</v>
      </c>
      <c r="D44" s="9" t="s">
        <v>12</v>
      </c>
      <c r="E44" s="26">
        <f>400</f>
        <v>400</v>
      </c>
      <c r="F44" s="26">
        <f t="shared" si="9"/>
        <v>200</v>
      </c>
      <c r="G44" s="26">
        <f t="shared" si="10"/>
        <v>100</v>
      </c>
      <c r="H44" s="26">
        <f t="shared" si="16"/>
        <v>50</v>
      </c>
      <c r="I44" s="26">
        <f t="shared" si="16"/>
        <v>0</v>
      </c>
      <c r="J44" s="26">
        <f t="shared" si="11"/>
        <v>14609.458064516128</v>
      </c>
      <c r="K44" s="26">
        <f t="shared" si="12"/>
        <v>14409.458064516128</v>
      </c>
      <c r="L44" s="26">
        <f t="shared" si="13"/>
        <v>14309.458064516128</v>
      </c>
      <c r="M44" s="26">
        <f t="shared" si="14"/>
        <v>14259.458064516128</v>
      </c>
      <c r="N44" s="26">
        <f t="shared" si="15"/>
        <v>14209.458064516128</v>
      </c>
      <c r="O44" s="26"/>
    </row>
    <row r="45" spans="1:15" x14ac:dyDescent="0.3">
      <c r="A45" s="10" t="s">
        <v>101</v>
      </c>
      <c r="B45" s="11" t="s">
        <v>102</v>
      </c>
      <c r="C45" s="12" t="s">
        <v>94</v>
      </c>
      <c r="D45" s="9" t="s">
        <v>12</v>
      </c>
      <c r="E45" s="26">
        <f>400</f>
        <v>400</v>
      </c>
      <c r="F45" s="26">
        <f t="shared" si="9"/>
        <v>200</v>
      </c>
      <c r="G45" s="26">
        <f t="shared" si="10"/>
        <v>100</v>
      </c>
      <c r="H45" s="26">
        <f t="shared" si="16"/>
        <v>50</v>
      </c>
      <c r="I45" s="26">
        <f t="shared" si="16"/>
        <v>0</v>
      </c>
      <c r="J45" s="26">
        <f t="shared" si="11"/>
        <v>14609.458064516128</v>
      </c>
      <c r="K45" s="26">
        <f t="shared" si="12"/>
        <v>14409.458064516128</v>
      </c>
      <c r="L45" s="26">
        <f t="shared" si="13"/>
        <v>14309.458064516128</v>
      </c>
      <c r="M45" s="26">
        <f t="shared" si="14"/>
        <v>14259.458064516128</v>
      </c>
      <c r="N45" s="26">
        <f t="shared" si="15"/>
        <v>14209.458064516128</v>
      </c>
      <c r="O45" s="26"/>
    </row>
    <row r="46" spans="1:15" x14ac:dyDescent="0.3">
      <c r="A46" s="10" t="s">
        <v>103</v>
      </c>
      <c r="B46" s="11" t="s">
        <v>104</v>
      </c>
      <c r="C46" s="12" t="s">
        <v>94</v>
      </c>
      <c r="D46" s="9" t="s">
        <v>12</v>
      </c>
      <c r="E46" s="26">
        <f>400</f>
        <v>400</v>
      </c>
      <c r="F46" s="26">
        <f t="shared" si="9"/>
        <v>200</v>
      </c>
      <c r="G46" s="26">
        <f t="shared" si="10"/>
        <v>100</v>
      </c>
      <c r="H46" s="26">
        <f t="shared" si="16"/>
        <v>50</v>
      </c>
      <c r="I46" s="26">
        <f t="shared" si="16"/>
        <v>0</v>
      </c>
      <c r="J46" s="26">
        <f t="shared" si="11"/>
        <v>14609.458064516128</v>
      </c>
      <c r="K46" s="26">
        <f t="shared" si="12"/>
        <v>14409.458064516128</v>
      </c>
      <c r="L46" s="26">
        <f t="shared" si="13"/>
        <v>14309.458064516128</v>
      </c>
      <c r="M46" s="26">
        <f t="shared" si="14"/>
        <v>14259.458064516128</v>
      </c>
      <c r="N46" s="26">
        <f t="shared" si="15"/>
        <v>14209.458064516128</v>
      </c>
      <c r="O46" s="26"/>
    </row>
    <row r="47" spans="1:15" x14ac:dyDescent="0.3">
      <c r="A47" s="10" t="s">
        <v>105</v>
      </c>
      <c r="B47" s="11" t="s">
        <v>106</v>
      </c>
      <c r="C47" s="12" t="s">
        <v>94</v>
      </c>
      <c r="D47" s="9" t="s">
        <v>12</v>
      </c>
      <c r="E47" s="26">
        <f>400</f>
        <v>400</v>
      </c>
      <c r="F47" s="26">
        <f t="shared" si="9"/>
        <v>200</v>
      </c>
      <c r="G47" s="26">
        <f t="shared" si="10"/>
        <v>100</v>
      </c>
      <c r="H47" s="26">
        <f t="shared" si="16"/>
        <v>50</v>
      </c>
      <c r="I47" s="26">
        <f t="shared" si="16"/>
        <v>0</v>
      </c>
      <c r="J47" s="26">
        <f t="shared" si="11"/>
        <v>14609.458064516128</v>
      </c>
      <c r="K47" s="26">
        <f t="shared" si="12"/>
        <v>14409.458064516128</v>
      </c>
      <c r="L47" s="26">
        <f t="shared" si="13"/>
        <v>14309.458064516128</v>
      </c>
      <c r="M47" s="26">
        <f t="shared" si="14"/>
        <v>14259.458064516128</v>
      </c>
      <c r="N47" s="26">
        <f t="shared" si="15"/>
        <v>14209.458064516128</v>
      </c>
      <c r="O47" s="26"/>
    </row>
    <row r="48" spans="1:15" x14ac:dyDescent="0.3">
      <c r="A48" s="10" t="s">
        <v>107</v>
      </c>
      <c r="B48" s="11" t="s">
        <v>108</v>
      </c>
      <c r="C48" s="12" t="s">
        <v>94</v>
      </c>
      <c r="D48" s="9" t="s">
        <v>12</v>
      </c>
      <c r="E48" s="26">
        <f>400</f>
        <v>400</v>
      </c>
      <c r="F48" s="26">
        <f t="shared" si="9"/>
        <v>200</v>
      </c>
      <c r="G48" s="26">
        <f t="shared" si="10"/>
        <v>100</v>
      </c>
      <c r="H48" s="26">
        <f t="shared" si="16"/>
        <v>50</v>
      </c>
      <c r="I48" s="26">
        <f t="shared" si="16"/>
        <v>0</v>
      </c>
      <c r="J48" s="26">
        <f t="shared" si="11"/>
        <v>14609.458064516128</v>
      </c>
      <c r="K48" s="26">
        <f t="shared" si="12"/>
        <v>14409.458064516128</v>
      </c>
      <c r="L48" s="26">
        <f t="shared" si="13"/>
        <v>14309.458064516128</v>
      </c>
      <c r="M48" s="26">
        <f t="shared" si="14"/>
        <v>14259.458064516128</v>
      </c>
      <c r="N48" s="26">
        <f t="shared" si="15"/>
        <v>14209.458064516128</v>
      </c>
      <c r="O48" s="26"/>
    </row>
    <row r="49" spans="1:15" x14ac:dyDescent="0.3">
      <c r="A49" s="10" t="s">
        <v>109</v>
      </c>
      <c r="B49" s="11" t="s">
        <v>110</v>
      </c>
      <c r="C49" s="12" t="s">
        <v>94</v>
      </c>
      <c r="D49" s="9" t="s">
        <v>12</v>
      </c>
      <c r="E49" s="26">
        <f>400</f>
        <v>400</v>
      </c>
      <c r="F49" s="26">
        <f t="shared" si="9"/>
        <v>200</v>
      </c>
      <c r="G49" s="26">
        <f t="shared" si="10"/>
        <v>100</v>
      </c>
      <c r="H49" s="26">
        <f t="shared" si="16"/>
        <v>50</v>
      </c>
      <c r="I49" s="26">
        <f t="shared" si="16"/>
        <v>0</v>
      </c>
      <c r="J49" s="26">
        <f t="shared" si="11"/>
        <v>14609.458064516128</v>
      </c>
      <c r="K49" s="26">
        <f t="shared" si="12"/>
        <v>14409.458064516128</v>
      </c>
      <c r="L49" s="26">
        <f t="shared" si="13"/>
        <v>14309.458064516128</v>
      </c>
      <c r="M49" s="26">
        <f t="shared" si="14"/>
        <v>14259.458064516128</v>
      </c>
      <c r="N49" s="26">
        <f t="shared" si="15"/>
        <v>14209.458064516128</v>
      </c>
      <c r="O49" s="26"/>
    </row>
    <row r="50" spans="1:15" x14ac:dyDescent="0.3">
      <c r="A50" s="10" t="s">
        <v>111</v>
      </c>
      <c r="B50" s="10" t="s">
        <v>112</v>
      </c>
      <c r="C50" s="10" t="s">
        <v>94</v>
      </c>
      <c r="D50" s="9" t="s">
        <v>12</v>
      </c>
      <c r="E50" s="26">
        <f>400</f>
        <v>400</v>
      </c>
      <c r="F50" s="26">
        <f t="shared" si="9"/>
        <v>200</v>
      </c>
      <c r="G50" s="26">
        <f t="shared" si="10"/>
        <v>100</v>
      </c>
      <c r="H50" s="26">
        <f t="shared" si="16"/>
        <v>50</v>
      </c>
      <c r="I50" s="26">
        <f t="shared" si="16"/>
        <v>0</v>
      </c>
      <c r="J50" s="26">
        <f t="shared" si="11"/>
        <v>14609.458064516128</v>
      </c>
      <c r="K50" s="26">
        <f t="shared" si="12"/>
        <v>14409.458064516128</v>
      </c>
      <c r="L50" s="26">
        <f t="shared" si="13"/>
        <v>14309.458064516128</v>
      </c>
      <c r="M50" s="26">
        <f t="shared" si="14"/>
        <v>14259.458064516128</v>
      </c>
      <c r="N50" s="26">
        <f t="shared" si="15"/>
        <v>14209.458064516128</v>
      </c>
      <c r="O50" s="26"/>
    </row>
    <row r="51" spans="1:15" x14ac:dyDescent="0.3">
      <c r="A51" s="10" t="s">
        <v>113</v>
      </c>
      <c r="B51" s="10" t="s">
        <v>114</v>
      </c>
      <c r="C51" s="10" t="s">
        <v>115</v>
      </c>
      <c r="D51" s="9" t="s">
        <v>12</v>
      </c>
      <c r="E51" s="26">
        <f>300</f>
        <v>300</v>
      </c>
      <c r="F51" s="26">
        <f t="shared" si="9"/>
        <v>100</v>
      </c>
      <c r="G51" s="26">
        <f t="shared" si="10"/>
        <v>0</v>
      </c>
      <c r="H51" s="26">
        <f t="shared" si="16"/>
        <v>-50</v>
      </c>
      <c r="I51" s="26">
        <f t="shared" si="16"/>
        <v>-100</v>
      </c>
      <c r="J51" s="26">
        <f t="shared" si="11"/>
        <v>14509.458064516128</v>
      </c>
      <c r="K51" s="26">
        <f t="shared" si="12"/>
        <v>14309.458064516128</v>
      </c>
      <c r="L51" s="26">
        <f t="shared" si="13"/>
        <v>14209.458064516128</v>
      </c>
      <c r="M51" s="26">
        <f t="shared" si="14"/>
        <v>14159.458064516128</v>
      </c>
      <c r="N51" s="26">
        <f t="shared" si="15"/>
        <v>14109.458064516128</v>
      </c>
      <c r="O51" s="26"/>
    </row>
    <row r="52" spans="1:15" x14ac:dyDescent="0.3">
      <c r="A52" s="10" t="s">
        <v>116</v>
      </c>
      <c r="B52" s="10" t="s">
        <v>117</v>
      </c>
      <c r="C52" s="10" t="s">
        <v>115</v>
      </c>
      <c r="D52" s="9" t="s">
        <v>12</v>
      </c>
      <c r="E52" s="26">
        <f>300</f>
        <v>300</v>
      </c>
      <c r="F52" s="26">
        <f t="shared" si="9"/>
        <v>100</v>
      </c>
      <c r="G52" s="26">
        <f t="shared" si="10"/>
        <v>0</v>
      </c>
      <c r="H52" s="26">
        <f t="shared" si="16"/>
        <v>-50</v>
      </c>
      <c r="I52" s="26">
        <f t="shared" si="16"/>
        <v>-100</v>
      </c>
      <c r="J52" s="26">
        <f t="shared" si="11"/>
        <v>14509.458064516128</v>
      </c>
      <c r="K52" s="26">
        <f t="shared" si="12"/>
        <v>14309.458064516128</v>
      </c>
      <c r="L52" s="26">
        <f t="shared" si="13"/>
        <v>14209.458064516128</v>
      </c>
      <c r="M52" s="26">
        <f t="shared" si="14"/>
        <v>14159.458064516128</v>
      </c>
      <c r="N52" s="26">
        <f t="shared" si="15"/>
        <v>14109.458064516128</v>
      </c>
      <c r="O52" s="26"/>
    </row>
    <row r="53" spans="1:15" x14ac:dyDescent="0.3">
      <c r="A53" s="10" t="s">
        <v>118</v>
      </c>
      <c r="B53" s="10" t="s">
        <v>119</v>
      </c>
      <c r="C53" s="10" t="s">
        <v>115</v>
      </c>
      <c r="D53" s="9" t="s">
        <v>12</v>
      </c>
      <c r="E53" s="26">
        <f>300</f>
        <v>300</v>
      </c>
      <c r="F53" s="26">
        <f t="shared" si="9"/>
        <v>100</v>
      </c>
      <c r="G53" s="26">
        <f t="shared" si="10"/>
        <v>0</v>
      </c>
      <c r="H53" s="26">
        <f t="shared" si="16"/>
        <v>-50</v>
      </c>
      <c r="I53" s="26">
        <f t="shared" si="16"/>
        <v>-100</v>
      </c>
      <c r="J53" s="26">
        <f t="shared" si="11"/>
        <v>14509.458064516128</v>
      </c>
      <c r="K53" s="26">
        <f t="shared" si="12"/>
        <v>14309.458064516128</v>
      </c>
      <c r="L53" s="26">
        <f t="shared" si="13"/>
        <v>14209.458064516128</v>
      </c>
      <c r="M53" s="26">
        <f t="shared" si="14"/>
        <v>14159.458064516128</v>
      </c>
      <c r="N53" s="26">
        <f t="shared" si="15"/>
        <v>14109.458064516128</v>
      </c>
      <c r="O53" s="26"/>
    </row>
    <row r="54" spans="1:15" x14ac:dyDescent="0.3">
      <c r="A54" s="10" t="s">
        <v>120</v>
      </c>
      <c r="B54" s="10" t="s">
        <v>121</v>
      </c>
      <c r="C54" s="10" t="s">
        <v>115</v>
      </c>
      <c r="D54" s="9" t="s">
        <v>12</v>
      </c>
      <c r="E54" s="26">
        <f>300</f>
        <v>300</v>
      </c>
      <c r="F54" s="26">
        <f t="shared" si="9"/>
        <v>100</v>
      </c>
      <c r="G54" s="26">
        <f t="shared" si="10"/>
        <v>0</v>
      </c>
      <c r="H54" s="26">
        <f t="shared" si="16"/>
        <v>-50</v>
      </c>
      <c r="I54" s="26">
        <f t="shared" si="16"/>
        <v>-100</v>
      </c>
      <c r="J54" s="26">
        <f t="shared" si="11"/>
        <v>14509.458064516128</v>
      </c>
      <c r="K54" s="26">
        <f t="shared" si="12"/>
        <v>14309.458064516128</v>
      </c>
      <c r="L54" s="26">
        <f t="shared" si="13"/>
        <v>14209.458064516128</v>
      </c>
      <c r="M54" s="26">
        <f t="shared" si="14"/>
        <v>14159.458064516128</v>
      </c>
      <c r="N54" s="26">
        <f t="shared" si="15"/>
        <v>14109.458064516128</v>
      </c>
      <c r="O54" s="26"/>
    </row>
    <row r="55" spans="1:15" x14ac:dyDescent="0.3">
      <c r="A55" s="10" t="s">
        <v>122</v>
      </c>
      <c r="B55" s="10" t="s">
        <v>123</v>
      </c>
      <c r="C55" s="10" t="s">
        <v>115</v>
      </c>
      <c r="D55" s="9" t="s">
        <v>12</v>
      </c>
      <c r="E55" s="26">
        <f>300</f>
        <v>300</v>
      </c>
      <c r="F55" s="26">
        <f t="shared" si="9"/>
        <v>100</v>
      </c>
      <c r="G55" s="26">
        <f t="shared" si="10"/>
        <v>0</v>
      </c>
      <c r="H55" s="26">
        <f t="shared" si="16"/>
        <v>-50</v>
      </c>
      <c r="I55" s="26">
        <f t="shared" si="16"/>
        <v>-100</v>
      </c>
      <c r="J55" s="26">
        <f t="shared" si="11"/>
        <v>14509.458064516128</v>
      </c>
      <c r="K55" s="26">
        <f t="shared" si="12"/>
        <v>14309.458064516128</v>
      </c>
      <c r="L55" s="26">
        <f t="shared" si="13"/>
        <v>14209.458064516128</v>
      </c>
      <c r="M55" s="26">
        <f t="shared" si="14"/>
        <v>14159.458064516128</v>
      </c>
      <c r="N55" s="26">
        <f t="shared" si="15"/>
        <v>14109.458064516128</v>
      </c>
      <c r="O55" s="26"/>
    </row>
    <row r="56" spans="1:15" x14ac:dyDescent="0.3">
      <c r="A56" s="10" t="s">
        <v>124</v>
      </c>
      <c r="B56" s="10" t="s">
        <v>125</v>
      </c>
      <c r="C56" s="10" t="s">
        <v>115</v>
      </c>
      <c r="D56" s="9" t="s">
        <v>12</v>
      </c>
      <c r="E56" s="26">
        <f>300</f>
        <v>300</v>
      </c>
      <c r="F56" s="26">
        <f t="shared" si="9"/>
        <v>100</v>
      </c>
      <c r="G56" s="26">
        <f t="shared" si="10"/>
        <v>0</v>
      </c>
      <c r="H56" s="26">
        <f t="shared" si="16"/>
        <v>-50</v>
      </c>
      <c r="I56" s="26">
        <f t="shared" si="16"/>
        <v>-100</v>
      </c>
      <c r="J56" s="26">
        <f t="shared" si="11"/>
        <v>14509.458064516128</v>
      </c>
      <c r="K56" s="26">
        <f t="shared" si="12"/>
        <v>14309.458064516128</v>
      </c>
      <c r="L56" s="26">
        <f t="shared" si="13"/>
        <v>14209.458064516128</v>
      </c>
      <c r="M56" s="26">
        <f t="shared" si="14"/>
        <v>14159.458064516128</v>
      </c>
      <c r="N56" s="26">
        <f t="shared" si="15"/>
        <v>14109.458064516128</v>
      </c>
      <c r="O56" s="26"/>
    </row>
    <row r="57" spans="1:15" x14ac:dyDescent="0.3">
      <c r="A57" s="10" t="s">
        <v>126</v>
      </c>
      <c r="B57" s="10" t="s">
        <v>127</v>
      </c>
      <c r="C57" s="10" t="s">
        <v>115</v>
      </c>
      <c r="D57" s="9" t="s">
        <v>12</v>
      </c>
      <c r="E57" s="26">
        <f>300</f>
        <v>300</v>
      </c>
      <c r="F57" s="26">
        <f t="shared" si="9"/>
        <v>100</v>
      </c>
      <c r="G57" s="26">
        <f t="shared" si="10"/>
        <v>0</v>
      </c>
      <c r="H57" s="26">
        <f t="shared" si="16"/>
        <v>-50</v>
      </c>
      <c r="I57" s="26">
        <f t="shared" si="16"/>
        <v>-100</v>
      </c>
      <c r="J57" s="26">
        <f t="shared" si="11"/>
        <v>14509.458064516128</v>
      </c>
      <c r="K57" s="26">
        <f t="shared" si="12"/>
        <v>14309.458064516128</v>
      </c>
      <c r="L57" s="26">
        <f t="shared" si="13"/>
        <v>14209.458064516128</v>
      </c>
      <c r="M57" s="26">
        <f t="shared" si="14"/>
        <v>14159.458064516128</v>
      </c>
      <c r="N57" s="26">
        <f t="shared" si="15"/>
        <v>14109.458064516128</v>
      </c>
      <c r="O57" s="26"/>
    </row>
    <row r="58" spans="1:15" x14ac:dyDescent="0.3">
      <c r="A58" s="10" t="s">
        <v>128</v>
      </c>
      <c r="B58" s="10" t="s">
        <v>129</v>
      </c>
      <c r="C58" s="10" t="s">
        <v>115</v>
      </c>
      <c r="D58" s="9" t="s">
        <v>12</v>
      </c>
      <c r="E58" s="26">
        <f>300</f>
        <v>300</v>
      </c>
      <c r="F58" s="26">
        <f t="shared" si="9"/>
        <v>100</v>
      </c>
      <c r="G58" s="26">
        <f t="shared" si="10"/>
        <v>0</v>
      </c>
      <c r="H58" s="26">
        <f t="shared" si="16"/>
        <v>-50</v>
      </c>
      <c r="I58" s="26">
        <f t="shared" si="16"/>
        <v>-100</v>
      </c>
      <c r="J58" s="26">
        <f t="shared" si="11"/>
        <v>14509.458064516128</v>
      </c>
      <c r="K58" s="26">
        <f t="shared" si="12"/>
        <v>14309.458064516128</v>
      </c>
      <c r="L58" s="26">
        <f t="shared" si="13"/>
        <v>14209.458064516128</v>
      </c>
      <c r="M58" s="26">
        <f t="shared" si="14"/>
        <v>14159.458064516128</v>
      </c>
      <c r="N58" s="26">
        <f t="shared" si="15"/>
        <v>14109.458064516128</v>
      </c>
      <c r="O58" s="26"/>
    </row>
    <row r="59" spans="1:15" x14ac:dyDescent="0.3">
      <c r="A59" s="10" t="s">
        <v>130</v>
      </c>
      <c r="B59" s="10" t="s">
        <v>131</v>
      </c>
      <c r="C59" s="10" t="s">
        <v>115</v>
      </c>
      <c r="D59" s="9" t="s">
        <v>12</v>
      </c>
      <c r="E59" s="26">
        <f>300</f>
        <v>300</v>
      </c>
      <c r="F59" s="26">
        <f t="shared" si="9"/>
        <v>100</v>
      </c>
      <c r="G59" s="26">
        <f t="shared" si="10"/>
        <v>0</v>
      </c>
      <c r="H59" s="26">
        <f t="shared" si="16"/>
        <v>-50</v>
      </c>
      <c r="I59" s="26">
        <f t="shared" si="16"/>
        <v>-100</v>
      </c>
      <c r="J59" s="26">
        <f t="shared" si="11"/>
        <v>14509.458064516128</v>
      </c>
      <c r="K59" s="26">
        <f t="shared" si="12"/>
        <v>14309.458064516128</v>
      </c>
      <c r="L59" s="26">
        <f t="shared" si="13"/>
        <v>14209.458064516128</v>
      </c>
      <c r="M59" s="26">
        <f t="shared" si="14"/>
        <v>14159.458064516128</v>
      </c>
      <c r="N59" s="26">
        <f t="shared" si="15"/>
        <v>14109.458064516128</v>
      </c>
      <c r="O59" s="26"/>
    </row>
    <row r="60" spans="1:15" x14ac:dyDescent="0.3">
      <c r="A60" s="10" t="s">
        <v>132</v>
      </c>
      <c r="B60" s="10" t="s">
        <v>133</v>
      </c>
      <c r="C60" s="10" t="s">
        <v>115</v>
      </c>
      <c r="D60" s="9" t="s">
        <v>12</v>
      </c>
      <c r="E60" s="26">
        <f>300</f>
        <v>300</v>
      </c>
      <c r="F60" s="26">
        <f t="shared" si="9"/>
        <v>100</v>
      </c>
      <c r="G60" s="26">
        <f t="shared" si="10"/>
        <v>0</v>
      </c>
      <c r="H60" s="26">
        <f t="shared" si="16"/>
        <v>-50</v>
      </c>
      <c r="I60" s="26">
        <f t="shared" si="16"/>
        <v>-100</v>
      </c>
      <c r="J60" s="26">
        <f t="shared" si="11"/>
        <v>14509.458064516128</v>
      </c>
      <c r="K60" s="26">
        <f t="shared" si="12"/>
        <v>14309.458064516128</v>
      </c>
      <c r="L60" s="26">
        <f t="shared" si="13"/>
        <v>14209.458064516128</v>
      </c>
      <c r="M60" s="26">
        <f t="shared" si="14"/>
        <v>14159.458064516128</v>
      </c>
      <c r="N60" s="26">
        <f t="shared" si="15"/>
        <v>14109.458064516128</v>
      </c>
      <c r="O60" s="26"/>
    </row>
    <row r="61" spans="1:15" x14ac:dyDescent="0.3">
      <c r="A61" s="10" t="s">
        <v>134</v>
      </c>
      <c r="B61" s="10" t="s">
        <v>135</v>
      </c>
      <c r="C61" s="10" t="s">
        <v>115</v>
      </c>
      <c r="D61" s="9" t="s">
        <v>12</v>
      </c>
      <c r="E61" s="26">
        <f>300</f>
        <v>300</v>
      </c>
      <c r="F61" s="26">
        <f t="shared" si="9"/>
        <v>100</v>
      </c>
      <c r="G61" s="26">
        <f t="shared" si="10"/>
        <v>0</v>
      </c>
      <c r="H61" s="26">
        <f t="shared" si="16"/>
        <v>-50</v>
      </c>
      <c r="I61" s="26">
        <f t="shared" si="16"/>
        <v>-100</v>
      </c>
      <c r="J61" s="26">
        <f t="shared" si="11"/>
        <v>14509.458064516128</v>
      </c>
      <c r="K61" s="26">
        <f t="shared" si="12"/>
        <v>14309.458064516128</v>
      </c>
      <c r="L61" s="26">
        <f t="shared" si="13"/>
        <v>14209.458064516128</v>
      </c>
      <c r="M61" s="26">
        <f t="shared" si="14"/>
        <v>14159.458064516128</v>
      </c>
      <c r="N61" s="26">
        <f t="shared" si="15"/>
        <v>14109.458064516128</v>
      </c>
      <c r="O61" s="26"/>
    </row>
    <row r="62" spans="1:15" x14ac:dyDescent="0.3">
      <c r="A62" s="10" t="s">
        <v>136</v>
      </c>
      <c r="B62" s="10" t="s">
        <v>137</v>
      </c>
      <c r="C62" s="10" t="s">
        <v>115</v>
      </c>
      <c r="D62" s="9" t="s">
        <v>12</v>
      </c>
      <c r="E62" s="26">
        <f>300</f>
        <v>300</v>
      </c>
      <c r="F62" s="26">
        <f t="shared" si="9"/>
        <v>100</v>
      </c>
      <c r="G62" s="26">
        <f t="shared" si="10"/>
        <v>0</v>
      </c>
      <c r="H62" s="26">
        <f t="shared" ref="H62:I81" si="17">G62-50</f>
        <v>-50</v>
      </c>
      <c r="I62" s="26">
        <f t="shared" si="17"/>
        <v>-100</v>
      </c>
      <c r="J62" s="26">
        <f t="shared" si="11"/>
        <v>14509.458064516128</v>
      </c>
      <c r="K62" s="26">
        <f t="shared" si="12"/>
        <v>14309.458064516128</v>
      </c>
      <c r="L62" s="26">
        <f t="shared" si="13"/>
        <v>14209.458064516128</v>
      </c>
      <c r="M62" s="26">
        <f t="shared" si="14"/>
        <v>14159.458064516128</v>
      </c>
      <c r="N62" s="26">
        <f t="shared" si="15"/>
        <v>14109.458064516128</v>
      </c>
      <c r="O62" s="26"/>
    </row>
    <row r="63" spans="1:15" x14ac:dyDescent="0.3">
      <c r="A63" s="10" t="s">
        <v>138</v>
      </c>
      <c r="B63" s="10" t="s">
        <v>139</v>
      </c>
      <c r="C63" s="10" t="s">
        <v>140</v>
      </c>
      <c r="D63" s="9" t="s">
        <v>12</v>
      </c>
      <c r="E63" s="26">
        <f>600</f>
        <v>600</v>
      </c>
      <c r="F63" s="26">
        <f t="shared" si="9"/>
        <v>400</v>
      </c>
      <c r="G63" s="26">
        <f t="shared" si="10"/>
        <v>300</v>
      </c>
      <c r="H63" s="26">
        <f t="shared" si="17"/>
        <v>250</v>
      </c>
      <c r="I63" s="26">
        <f t="shared" si="17"/>
        <v>200</v>
      </c>
      <c r="J63" s="26">
        <f t="shared" si="11"/>
        <v>14809.458064516128</v>
      </c>
      <c r="K63" s="26">
        <f t="shared" si="12"/>
        <v>14609.458064516128</v>
      </c>
      <c r="L63" s="26">
        <f t="shared" si="13"/>
        <v>14509.458064516128</v>
      </c>
      <c r="M63" s="26">
        <f t="shared" si="14"/>
        <v>14459.458064516128</v>
      </c>
      <c r="N63" s="26">
        <f t="shared" si="15"/>
        <v>14409.458064516128</v>
      </c>
      <c r="O63" s="26"/>
    </row>
    <row r="64" spans="1:15" x14ac:dyDescent="0.3">
      <c r="A64" s="10" t="s">
        <v>141</v>
      </c>
      <c r="B64" s="10" t="s">
        <v>142</v>
      </c>
      <c r="C64" s="10" t="s">
        <v>140</v>
      </c>
      <c r="D64" s="9" t="s">
        <v>12</v>
      </c>
      <c r="E64" s="26">
        <f>600</f>
        <v>600</v>
      </c>
      <c r="F64" s="26">
        <f t="shared" si="9"/>
        <v>400</v>
      </c>
      <c r="G64" s="26">
        <f t="shared" si="10"/>
        <v>300</v>
      </c>
      <c r="H64" s="26">
        <f t="shared" si="17"/>
        <v>250</v>
      </c>
      <c r="I64" s="26">
        <f t="shared" si="17"/>
        <v>200</v>
      </c>
      <c r="J64" s="26">
        <f t="shared" si="11"/>
        <v>14809.458064516128</v>
      </c>
      <c r="K64" s="26">
        <f t="shared" si="12"/>
        <v>14609.458064516128</v>
      </c>
      <c r="L64" s="26">
        <f t="shared" si="13"/>
        <v>14509.458064516128</v>
      </c>
      <c r="M64" s="26">
        <f t="shared" si="14"/>
        <v>14459.458064516128</v>
      </c>
      <c r="N64" s="26">
        <f t="shared" si="15"/>
        <v>14409.458064516128</v>
      </c>
      <c r="O64" s="26"/>
    </row>
    <row r="65" spans="1:15" x14ac:dyDescent="0.3">
      <c r="A65" s="10" t="s">
        <v>143</v>
      </c>
      <c r="B65" s="10" t="s">
        <v>144</v>
      </c>
      <c r="C65" s="10" t="s">
        <v>140</v>
      </c>
      <c r="D65" s="9" t="s">
        <v>12</v>
      </c>
      <c r="E65" s="26">
        <f>600</f>
        <v>600</v>
      </c>
      <c r="F65" s="26">
        <f t="shared" si="9"/>
        <v>400</v>
      </c>
      <c r="G65" s="26">
        <f t="shared" si="10"/>
        <v>300</v>
      </c>
      <c r="H65" s="26">
        <f t="shared" si="17"/>
        <v>250</v>
      </c>
      <c r="I65" s="26">
        <f t="shared" si="17"/>
        <v>200</v>
      </c>
      <c r="J65" s="26">
        <f t="shared" si="11"/>
        <v>14809.458064516128</v>
      </c>
      <c r="K65" s="26">
        <f t="shared" si="12"/>
        <v>14609.458064516128</v>
      </c>
      <c r="L65" s="26">
        <f t="shared" si="13"/>
        <v>14509.458064516128</v>
      </c>
      <c r="M65" s="26">
        <f t="shared" si="14"/>
        <v>14459.458064516128</v>
      </c>
      <c r="N65" s="26">
        <f t="shared" si="15"/>
        <v>14409.458064516128</v>
      </c>
      <c r="O65" s="26"/>
    </row>
    <row r="66" spans="1:15" x14ac:dyDescent="0.3">
      <c r="A66" s="10" t="s">
        <v>145</v>
      </c>
      <c r="B66" s="10" t="s">
        <v>146</v>
      </c>
      <c r="C66" s="10" t="s">
        <v>140</v>
      </c>
      <c r="D66" s="9" t="s">
        <v>12</v>
      </c>
      <c r="E66" s="26">
        <f>600</f>
        <v>600</v>
      </c>
      <c r="F66" s="26">
        <f t="shared" ref="F66:F97" si="18">IF(E66&gt;0,E66-200,E66)</f>
        <v>400</v>
      </c>
      <c r="G66" s="26">
        <f t="shared" ref="G66:G97" si="19">F66-100</f>
        <v>300</v>
      </c>
      <c r="H66" s="26">
        <f t="shared" si="17"/>
        <v>250</v>
      </c>
      <c r="I66" s="26">
        <f t="shared" si="17"/>
        <v>200</v>
      </c>
      <c r="J66" s="26">
        <f t="shared" ref="J66:J97" si="20">+E66+$O$2</f>
        <v>14809.458064516128</v>
      </c>
      <c r="K66" s="26">
        <f t="shared" ref="K66:K97" si="21">+F66+$O$2</f>
        <v>14609.458064516128</v>
      </c>
      <c r="L66" s="26">
        <f t="shared" ref="L66:L97" si="22">+G66+$O$2</f>
        <v>14509.458064516128</v>
      </c>
      <c r="M66" s="26">
        <f t="shared" ref="M66:M97" si="23">+H66+$O$2</f>
        <v>14459.458064516128</v>
      </c>
      <c r="N66" s="26">
        <f t="shared" ref="N66:N97" si="24">+I66+$O$2</f>
        <v>14409.458064516128</v>
      </c>
      <c r="O66" s="26"/>
    </row>
    <row r="67" spans="1:15" x14ac:dyDescent="0.3">
      <c r="A67" s="10" t="s">
        <v>147</v>
      </c>
      <c r="B67" s="10" t="s">
        <v>148</v>
      </c>
      <c r="C67" s="10" t="s">
        <v>140</v>
      </c>
      <c r="D67" s="9" t="s">
        <v>12</v>
      </c>
      <c r="E67" s="26">
        <f>600</f>
        <v>600</v>
      </c>
      <c r="F67" s="26">
        <f t="shared" si="18"/>
        <v>400</v>
      </c>
      <c r="G67" s="26">
        <f t="shared" si="19"/>
        <v>300</v>
      </c>
      <c r="H67" s="26">
        <f t="shared" si="17"/>
        <v>250</v>
      </c>
      <c r="I67" s="26">
        <f t="shared" si="17"/>
        <v>200</v>
      </c>
      <c r="J67" s="26">
        <f t="shared" si="20"/>
        <v>14809.458064516128</v>
      </c>
      <c r="K67" s="26">
        <f t="shared" si="21"/>
        <v>14609.458064516128</v>
      </c>
      <c r="L67" s="26">
        <f t="shared" si="22"/>
        <v>14509.458064516128</v>
      </c>
      <c r="M67" s="26">
        <f t="shared" si="23"/>
        <v>14459.458064516128</v>
      </c>
      <c r="N67" s="26">
        <f t="shared" si="24"/>
        <v>14409.458064516128</v>
      </c>
      <c r="O67" s="26"/>
    </row>
    <row r="68" spans="1:15" x14ac:dyDescent="0.3">
      <c r="A68" s="10" t="s">
        <v>149</v>
      </c>
      <c r="B68" s="10" t="s">
        <v>150</v>
      </c>
      <c r="C68" s="10" t="s">
        <v>140</v>
      </c>
      <c r="D68" s="9" t="s">
        <v>12</v>
      </c>
      <c r="E68" s="26">
        <f>600</f>
        <v>600</v>
      </c>
      <c r="F68" s="26">
        <f t="shared" si="18"/>
        <v>400</v>
      </c>
      <c r="G68" s="26">
        <f t="shared" si="19"/>
        <v>300</v>
      </c>
      <c r="H68" s="26">
        <f t="shared" si="17"/>
        <v>250</v>
      </c>
      <c r="I68" s="26">
        <f t="shared" si="17"/>
        <v>200</v>
      </c>
      <c r="J68" s="26">
        <f t="shared" si="20"/>
        <v>14809.458064516128</v>
      </c>
      <c r="K68" s="26">
        <f t="shared" si="21"/>
        <v>14609.458064516128</v>
      </c>
      <c r="L68" s="26">
        <f t="shared" si="22"/>
        <v>14509.458064516128</v>
      </c>
      <c r="M68" s="26">
        <f t="shared" si="23"/>
        <v>14459.458064516128</v>
      </c>
      <c r="N68" s="26">
        <f t="shared" si="24"/>
        <v>14409.458064516128</v>
      </c>
      <c r="O68" s="26"/>
    </row>
    <row r="69" spans="1:15" x14ac:dyDescent="0.3">
      <c r="A69" s="10" t="s">
        <v>151</v>
      </c>
      <c r="B69" s="10" t="s">
        <v>152</v>
      </c>
      <c r="C69" s="10" t="s">
        <v>140</v>
      </c>
      <c r="D69" s="9" t="s">
        <v>12</v>
      </c>
      <c r="E69" s="26">
        <f>600</f>
        <v>600</v>
      </c>
      <c r="F69" s="26">
        <f t="shared" si="18"/>
        <v>400</v>
      </c>
      <c r="G69" s="26">
        <f t="shared" si="19"/>
        <v>300</v>
      </c>
      <c r="H69" s="26">
        <f t="shared" si="17"/>
        <v>250</v>
      </c>
      <c r="I69" s="26">
        <f t="shared" si="17"/>
        <v>200</v>
      </c>
      <c r="J69" s="26">
        <f t="shared" si="20"/>
        <v>14809.458064516128</v>
      </c>
      <c r="K69" s="26">
        <f t="shared" si="21"/>
        <v>14609.458064516128</v>
      </c>
      <c r="L69" s="26">
        <f t="shared" si="22"/>
        <v>14509.458064516128</v>
      </c>
      <c r="M69" s="26">
        <f t="shared" si="23"/>
        <v>14459.458064516128</v>
      </c>
      <c r="N69" s="26">
        <f t="shared" si="24"/>
        <v>14409.458064516128</v>
      </c>
      <c r="O69" s="26"/>
    </row>
    <row r="70" spans="1:15" x14ac:dyDescent="0.3">
      <c r="A70" s="10" t="s">
        <v>153</v>
      </c>
      <c r="B70" s="10" t="s">
        <v>154</v>
      </c>
      <c r="C70" s="10" t="s">
        <v>140</v>
      </c>
      <c r="D70" s="9" t="s">
        <v>12</v>
      </c>
      <c r="E70" s="26">
        <f>600</f>
        <v>600</v>
      </c>
      <c r="F70" s="26">
        <f t="shared" si="18"/>
        <v>400</v>
      </c>
      <c r="G70" s="26">
        <f t="shared" si="19"/>
        <v>300</v>
      </c>
      <c r="H70" s="26">
        <f t="shared" si="17"/>
        <v>250</v>
      </c>
      <c r="I70" s="26">
        <f t="shared" si="17"/>
        <v>200</v>
      </c>
      <c r="J70" s="26">
        <f t="shared" si="20"/>
        <v>14809.458064516128</v>
      </c>
      <c r="K70" s="26">
        <f t="shared" si="21"/>
        <v>14609.458064516128</v>
      </c>
      <c r="L70" s="26">
        <f t="shared" si="22"/>
        <v>14509.458064516128</v>
      </c>
      <c r="M70" s="26">
        <f t="shared" si="23"/>
        <v>14459.458064516128</v>
      </c>
      <c r="N70" s="26">
        <f t="shared" si="24"/>
        <v>14409.458064516128</v>
      </c>
      <c r="O70" s="26"/>
    </row>
    <row r="71" spans="1:15" x14ac:dyDescent="0.3">
      <c r="A71" s="10" t="s">
        <v>155</v>
      </c>
      <c r="B71" s="10" t="s">
        <v>156</v>
      </c>
      <c r="C71" s="10" t="s">
        <v>140</v>
      </c>
      <c r="D71" s="9" t="s">
        <v>12</v>
      </c>
      <c r="E71" s="26">
        <f>600</f>
        <v>600</v>
      </c>
      <c r="F71" s="26">
        <f t="shared" si="18"/>
        <v>400</v>
      </c>
      <c r="G71" s="26">
        <f t="shared" si="19"/>
        <v>300</v>
      </c>
      <c r="H71" s="26">
        <f t="shared" si="17"/>
        <v>250</v>
      </c>
      <c r="I71" s="26">
        <f t="shared" si="17"/>
        <v>200</v>
      </c>
      <c r="J71" s="26">
        <f t="shared" si="20"/>
        <v>14809.458064516128</v>
      </c>
      <c r="K71" s="26">
        <f t="shared" si="21"/>
        <v>14609.458064516128</v>
      </c>
      <c r="L71" s="26">
        <f t="shared" si="22"/>
        <v>14509.458064516128</v>
      </c>
      <c r="M71" s="26">
        <f t="shared" si="23"/>
        <v>14459.458064516128</v>
      </c>
      <c r="N71" s="26">
        <f t="shared" si="24"/>
        <v>14409.458064516128</v>
      </c>
      <c r="O71" s="26"/>
    </row>
    <row r="72" spans="1:15" x14ac:dyDescent="0.3">
      <c r="A72" s="10" t="s">
        <v>157</v>
      </c>
      <c r="B72" s="10" t="s">
        <v>158</v>
      </c>
      <c r="C72" s="10" t="s">
        <v>140</v>
      </c>
      <c r="D72" s="9" t="s">
        <v>12</v>
      </c>
      <c r="E72" s="26">
        <f>600</f>
        <v>600</v>
      </c>
      <c r="F72" s="26">
        <f t="shared" si="18"/>
        <v>400</v>
      </c>
      <c r="G72" s="26">
        <f t="shared" si="19"/>
        <v>300</v>
      </c>
      <c r="H72" s="26">
        <f t="shared" si="17"/>
        <v>250</v>
      </c>
      <c r="I72" s="26">
        <f t="shared" si="17"/>
        <v>200</v>
      </c>
      <c r="J72" s="26">
        <f t="shared" si="20"/>
        <v>14809.458064516128</v>
      </c>
      <c r="K72" s="26">
        <f t="shared" si="21"/>
        <v>14609.458064516128</v>
      </c>
      <c r="L72" s="26">
        <f t="shared" si="22"/>
        <v>14509.458064516128</v>
      </c>
      <c r="M72" s="26">
        <f t="shared" si="23"/>
        <v>14459.458064516128</v>
      </c>
      <c r="N72" s="26">
        <f t="shared" si="24"/>
        <v>14409.458064516128</v>
      </c>
      <c r="O72" s="26"/>
    </row>
    <row r="73" spans="1:15" x14ac:dyDescent="0.3">
      <c r="A73" s="10" t="s">
        <v>159</v>
      </c>
      <c r="B73" s="10" t="s">
        <v>160</v>
      </c>
      <c r="C73" s="10" t="s">
        <v>140</v>
      </c>
      <c r="D73" s="9" t="s">
        <v>12</v>
      </c>
      <c r="E73" s="26">
        <f>600</f>
        <v>600</v>
      </c>
      <c r="F73" s="26">
        <f t="shared" si="18"/>
        <v>400</v>
      </c>
      <c r="G73" s="26">
        <f t="shared" si="19"/>
        <v>300</v>
      </c>
      <c r="H73" s="26">
        <f t="shared" si="17"/>
        <v>250</v>
      </c>
      <c r="I73" s="26">
        <f t="shared" si="17"/>
        <v>200</v>
      </c>
      <c r="J73" s="26">
        <f t="shared" si="20"/>
        <v>14809.458064516128</v>
      </c>
      <c r="K73" s="26">
        <f t="shared" si="21"/>
        <v>14609.458064516128</v>
      </c>
      <c r="L73" s="26">
        <f t="shared" si="22"/>
        <v>14509.458064516128</v>
      </c>
      <c r="M73" s="26">
        <f t="shared" si="23"/>
        <v>14459.458064516128</v>
      </c>
      <c r="N73" s="26">
        <f t="shared" si="24"/>
        <v>14409.458064516128</v>
      </c>
      <c r="O73" s="26"/>
    </row>
    <row r="74" spans="1:15" x14ac:dyDescent="0.3">
      <c r="A74" s="10" t="s">
        <v>161</v>
      </c>
      <c r="B74" s="10" t="s">
        <v>162</v>
      </c>
      <c r="C74" s="10" t="s">
        <v>140</v>
      </c>
      <c r="D74" s="9" t="s">
        <v>12</v>
      </c>
      <c r="E74" s="26">
        <f>600</f>
        <v>600</v>
      </c>
      <c r="F74" s="26">
        <f t="shared" si="18"/>
        <v>400</v>
      </c>
      <c r="G74" s="26">
        <f t="shared" si="19"/>
        <v>300</v>
      </c>
      <c r="H74" s="26">
        <f t="shared" si="17"/>
        <v>250</v>
      </c>
      <c r="I74" s="26">
        <f t="shared" si="17"/>
        <v>200</v>
      </c>
      <c r="J74" s="26">
        <f t="shared" si="20"/>
        <v>14809.458064516128</v>
      </c>
      <c r="K74" s="26">
        <f t="shared" si="21"/>
        <v>14609.458064516128</v>
      </c>
      <c r="L74" s="26">
        <f t="shared" si="22"/>
        <v>14509.458064516128</v>
      </c>
      <c r="M74" s="26">
        <f t="shared" si="23"/>
        <v>14459.458064516128</v>
      </c>
      <c r="N74" s="26">
        <f t="shared" si="24"/>
        <v>14409.458064516128</v>
      </c>
      <c r="O74" s="26"/>
    </row>
    <row r="75" spans="1:15" x14ac:dyDescent="0.3">
      <c r="A75" s="10" t="s">
        <v>163</v>
      </c>
      <c r="B75" s="10" t="s">
        <v>164</v>
      </c>
      <c r="C75" s="10" t="s">
        <v>140</v>
      </c>
      <c r="D75" s="9" t="s">
        <v>12</v>
      </c>
      <c r="E75" s="26">
        <f>600</f>
        <v>600</v>
      </c>
      <c r="F75" s="26">
        <f t="shared" si="18"/>
        <v>400</v>
      </c>
      <c r="G75" s="26">
        <f t="shared" si="19"/>
        <v>300</v>
      </c>
      <c r="H75" s="26">
        <f t="shared" si="17"/>
        <v>250</v>
      </c>
      <c r="I75" s="26">
        <f t="shared" si="17"/>
        <v>200</v>
      </c>
      <c r="J75" s="26">
        <f t="shared" si="20"/>
        <v>14809.458064516128</v>
      </c>
      <c r="K75" s="26">
        <f t="shared" si="21"/>
        <v>14609.458064516128</v>
      </c>
      <c r="L75" s="26">
        <f t="shared" si="22"/>
        <v>14509.458064516128</v>
      </c>
      <c r="M75" s="26">
        <f t="shared" si="23"/>
        <v>14459.458064516128</v>
      </c>
      <c r="N75" s="26">
        <f t="shared" si="24"/>
        <v>14409.458064516128</v>
      </c>
      <c r="O75" s="26"/>
    </row>
    <row r="76" spans="1:15" x14ac:dyDescent="0.3">
      <c r="A76" s="10" t="s">
        <v>165</v>
      </c>
      <c r="B76" s="10" t="s">
        <v>166</v>
      </c>
      <c r="C76" s="10" t="s">
        <v>140</v>
      </c>
      <c r="D76" s="9" t="s">
        <v>12</v>
      </c>
      <c r="E76" s="26">
        <f>600</f>
        <v>600</v>
      </c>
      <c r="F76" s="26">
        <f t="shared" si="18"/>
        <v>400</v>
      </c>
      <c r="G76" s="26">
        <f t="shared" si="19"/>
        <v>300</v>
      </c>
      <c r="H76" s="26">
        <f t="shared" si="17"/>
        <v>250</v>
      </c>
      <c r="I76" s="26">
        <f t="shared" si="17"/>
        <v>200</v>
      </c>
      <c r="J76" s="26">
        <f t="shared" si="20"/>
        <v>14809.458064516128</v>
      </c>
      <c r="K76" s="26">
        <f t="shared" si="21"/>
        <v>14609.458064516128</v>
      </c>
      <c r="L76" s="26">
        <f t="shared" si="22"/>
        <v>14509.458064516128</v>
      </c>
      <c r="M76" s="26">
        <f t="shared" si="23"/>
        <v>14459.458064516128</v>
      </c>
      <c r="N76" s="26">
        <f t="shared" si="24"/>
        <v>14409.458064516128</v>
      </c>
      <c r="O76" s="26"/>
    </row>
    <row r="77" spans="1:15" x14ac:dyDescent="0.3">
      <c r="A77" s="10" t="s">
        <v>167</v>
      </c>
      <c r="B77" s="10" t="s">
        <v>168</v>
      </c>
      <c r="C77" s="10" t="s">
        <v>169</v>
      </c>
      <c r="D77" s="9" t="s">
        <v>12</v>
      </c>
      <c r="E77" s="26">
        <f>600</f>
        <v>600</v>
      </c>
      <c r="F77" s="26">
        <f t="shared" si="18"/>
        <v>400</v>
      </c>
      <c r="G77" s="26">
        <f t="shared" si="19"/>
        <v>300</v>
      </c>
      <c r="H77" s="26">
        <f t="shared" si="17"/>
        <v>250</v>
      </c>
      <c r="I77" s="26">
        <f t="shared" si="17"/>
        <v>200</v>
      </c>
      <c r="J77" s="26">
        <f t="shared" si="20"/>
        <v>14809.458064516128</v>
      </c>
      <c r="K77" s="26">
        <f t="shared" si="21"/>
        <v>14609.458064516128</v>
      </c>
      <c r="L77" s="26">
        <f t="shared" si="22"/>
        <v>14509.458064516128</v>
      </c>
      <c r="M77" s="26">
        <f t="shared" si="23"/>
        <v>14459.458064516128</v>
      </c>
      <c r="N77" s="26">
        <f t="shared" si="24"/>
        <v>14409.458064516128</v>
      </c>
      <c r="O77" s="26"/>
    </row>
    <row r="78" spans="1:15" x14ac:dyDescent="0.3">
      <c r="A78" s="10" t="s">
        <v>170</v>
      </c>
      <c r="B78" s="10" t="s">
        <v>171</v>
      </c>
      <c r="C78" s="10" t="s">
        <v>169</v>
      </c>
      <c r="D78" s="9" t="s">
        <v>12</v>
      </c>
      <c r="E78" s="26">
        <f>600</f>
        <v>600</v>
      </c>
      <c r="F78" s="26">
        <f t="shared" si="18"/>
        <v>400</v>
      </c>
      <c r="G78" s="26">
        <f t="shared" si="19"/>
        <v>300</v>
      </c>
      <c r="H78" s="26">
        <f t="shared" si="17"/>
        <v>250</v>
      </c>
      <c r="I78" s="26">
        <f t="shared" si="17"/>
        <v>200</v>
      </c>
      <c r="J78" s="26">
        <f t="shared" si="20"/>
        <v>14809.458064516128</v>
      </c>
      <c r="K78" s="26">
        <f t="shared" si="21"/>
        <v>14609.458064516128</v>
      </c>
      <c r="L78" s="26">
        <f t="shared" si="22"/>
        <v>14509.458064516128</v>
      </c>
      <c r="M78" s="26">
        <f t="shared" si="23"/>
        <v>14459.458064516128</v>
      </c>
      <c r="N78" s="26">
        <f t="shared" si="24"/>
        <v>14409.458064516128</v>
      </c>
      <c r="O78" s="26"/>
    </row>
    <row r="79" spans="1:15" x14ac:dyDescent="0.3">
      <c r="A79" s="10" t="s">
        <v>172</v>
      </c>
      <c r="B79" s="10" t="s">
        <v>173</v>
      </c>
      <c r="C79" s="10" t="s">
        <v>169</v>
      </c>
      <c r="D79" s="9" t="s">
        <v>12</v>
      </c>
      <c r="E79" s="26">
        <f>600</f>
        <v>600</v>
      </c>
      <c r="F79" s="26">
        <f t="shared" si="18"/>
        <v>400</v>
      </c>
      <c r="G79" s="26">
        <f t="shared" si="19"/>
        <v>300</v>
      </c>
      <c r="H79" s="26">
        <f t="shared" si="17"/>
        <v>250</v>
      </c>
      <c r="I79" s="26">
        <f t="shared" si="17"/>
        <v>200</v>
      </c>
      <c r="J79" s="26">
        <f t="shared" si="20"/>
        <v>14809.458064516128</v>
      </c>
      <c r="K79" s="26">
        <f t="shared" si="21"/>
        <v>14609.458064516128</v>
      </c>
      <c r="L79" s="26">
        <f t="shared" si="22"/>
        <v>14509.458064516128</v>
      </c>
      <c r="M79" s="26">
        <f t="shared" si="23"/>
        <v>14459.458064516128</v>
      </c>
      <c r="N79" s="26">
        <f t="shared" si="24"/>
        <v>14409.458064516128</v>
      </c>
      <c r="O79" s="26"/>
    </row>
    <row r="80" spans="1:15" x14ac:dyDescent="0.3">
      <c r="A80" s="10" t="s">
        <v>174</v>
      </c>
      <c r="B80" s="10" t="s">
        <v>175</v>
      </c>
      <c r="C80" s="10" t="s">
        <v>169</v>
      </c>
      <c r="D80" s="9" t="s">
        <v>12</v>
      </c>
      <c r="E80" s="26">
        <f>600</f>
        <v>600</v>
      </c>
      <c r="F80" s="26">
        <f t="shared" si="18"/>
        <v>400</v>
      </c>
      <c r="G80" s="26">
        <f t="shared" si="19"/>
        <v>300</v>
      </c>
      <c r="H80" s="26">
        <f t="shared" si="17"/>
        <v>250</v>
      </c>
      <c r="I80" s="26">
        <f t="shared" si="17"/>
        <v>200</v>
      </c>
      <c r="J80" s="26">
        <f t="shared" si="20"/>
        <v>14809.458064516128</v>
      </c>
      <c r="K80" s="26">
        <f t="shared" si="21"/>
        <v>14609.458064516128</v>
      </c>
      <c r="L80" s="26">
        <f t="shared" si="22"/>
        <v>14509.458064516128</v>
      </c>
      <c r="M80" s="26">
        <f t="shared" si="23"/>
        <v>14459.458064516128</v>
      </c>
      <c r="N80" s="26">
        <f t="shared" si="24"/>
        <v>14409.458064516128</v>
      </c>
      <c r="O80" s="26"/>
    </row>
    <row r="81" spans="1:15" x14ac:dyDescent="0.3">
      <c r="A81" s="10" t="s">
        <v>176</v>
      </c>
      <c r="B81" s="10" t="s">
        <v>177</v>
      </c>
      <c r="C81" s="10" t="s">
        <v>169</v>
      </c>
      <c r="D81" s="9" t="s">
        <v>12</v>
      </c>
      <c r="E81" s="26">
        <f>600</f>
        <v>600</v>
      </c>
      <c r="F81" s="26">
        <f t="shared" si="18"/>
        <v>400</v>
      </c>
      <c r="G81" s="26">
        <f t="shared" si="19"/>
        <v>300</v>
      </c>
      <c r="H81" s="26">
        <f t="shared" si="17"/>
        <v>250</v>
      </c>
      <c r="I81" s="26">
        <f t="shared" si="17"/>
        <v>200</v>
      </c>
      <c r="J81" s="26">
        <f t="shared" si="20"/>
        <v>14809.458064516128</v>
      </c>
      <c r="K81" s="26">
        <f t="shared" si="21"/>
        <v>14609.458064516128</v>
      </c>
      <c r="L81" s="26">
        <f t="shared" si="22"/>
        <v>14509.458064516128</v>
      </c>
      <c r="M81" s="26">
        <f t="shared" si="23"/>
        <v>14459.458064516128</v>
      </c>
      <c r="N81" s="26">
        <f t="shared" si="24"/>
        <v>14409.458064516128</v>
      </c>
      <c r="O81" s="26"/>
    </row>
    <row r="82" spans="1:15" x14ac:dyDescent="0.3">
      <c r="A82" s="10" t="s">
        <v>178</v>
      </c>
      <c r="B82" s="10" t="s">
        <v>179</v>
      </c>
      <c r="C82" s="10" t="s">
        <v>169</v>
      </c>
      <c r="D82" s="9" t="s">
        <v>12</v>
      </c>
      <c r="E82" s="26">
        <f>600</f>
        <v>600</v>
      </c>
      <c r="F82" s="26">
        <f t="shared" si="18"/>
        <v>400</v>
      </c>
      <c r="G82" s="26">
        <f t="shared" si="19"/>
        <v>300</v>
      </c>
      <c r="H82" s="26">
        <f t="shared" ref="H82:I101" si="25">G82-50</f>
        <v>250</v>
      </c>
      <c r="I82" s="26">
        <f t="shared" si="25"/>
        <v>200</v>
      </c>
      <c r="J82" s="26">
        <f t="shared" si="20"/>
        <v>14809.458064516128</v>
      </c>
      <c r="K82" s="26">
        <f t="shared" si="21"/>
        <v>14609.458064516128</v>
      </c>
      <c r="L82" s="26">
        <f t="shared" si="22"/>
        <v>14509.458064516128</v>
      </c>
      <c r="M82" s="26">
        <f t="shared" si="23"/>
        <v>14459.458064516128</v>
      </c>
      <c r="N82" s="26">
        <f t="shared" si="24"/>
        <v>14409.458064516128</v>
      </c>
      <c r="O82" s="26"/>
    </row>
    <row r="83" spans="1:15" x14ac:dyDescent="0.3">
      <c r="A83" s="10" t="s">
        <v>180</v>
      </c>
      <c r="B83" s="10" t="s">
        <v>181</v>
      </c>
      <c r="C83" s="10" t="s">
        <v>182</v>
      </c>
      <c r="D83" s="9" t="s">
        <v>12</v>
      </c>
      <c r="E83" s="26">
        <f>600</f>
        <v>600</v>
      </c>
      <c r="F83" s="26">
        <f t="shared" si="18"/>
        <v>400</v>
      </c>
      <c r="G83" s="26">
        <f t="shared" si="19"/>
        <v>300</v>
      </c>
      <c r="H83" s="26">
        <f t="shared" si="25"/>
        <v>250</v>
      </c>
      <c r="I83" s="26">
        <f t="shared" si="25"/>
        <v>200</v>
      </c>
      <c r="J83" s="26">
        <f t="shared" si="20"/>
        <v>14809.458064516128</v>
      </c>
      <c r="K83" s="26">
        <f t="shared" si="21"/>
        <v>14609.458064516128</v>
      </c>
      <c r="L83" s="26">
        <f t="shared" si="22"/>
        <v>14509.458064516128</v>
      </c>
      <c r="M83" s="26">
        <f t="shared" si="23"/>
        <v>14459.458064516128</v>
      </c>
      <c r="N83" s="26">
        <f t="shared" si="24"/>
        <v>14409.458064516128</v>
      </c>
      <c r="O83" s="26"/>
    </row>
    <row r="84" spans="1:15" x14ac:dyDescent="0.3">
      <c r="A84" s="10" t="s">
        <v>183</v>
      </c>
      <c r="B84" s="10" t="s">
        <v>184</v>
      </c>
      <c r="C84" s="10" t="s">
        <v>182</v>
      </c>
      <c r="D84" s="9" t="s">
        <v>12</v>
      </c>
      <c r="E84" s="26">
        <f>600</f>
        <v>600</v>
      </c>
      <c r="F84" s="26">
        <f t="shared" si="18"/>
        <v>400</v>
      </c>
      <c r="G84" s="26">
        <f t="shared" si="19"/>
        <v>300</v>
      </c>
      <c r="H84" s="26">
        <f t="shared" si="25"/>
        <v>250</v>
      </c>
      <c r="I84" s="26">
        <f t="shared" si="25"/>
        <v>200</v>
      </c>
      <c r="J84" s="26">
        <f t="shared" si="20"/>
        <v>14809.458064516128</v>
      </c>
      <c r="K84" s="26">
        <f t="shared" si="21"/>
        <v>14609.458064516128</v>
      </c>
      <c r="L84" s="26">
        <f t="shared" si="22"/>
        <v>14509.458064516128</v>
      </c>
      <c r="M84" s="26">
        <f t="shared" si="23"/>
        <v>14459.458064516128</v>
      </c>
      <c r="N84" s="26">
        <f t="shared" si="24"/>
        <v>14409.458064516128</v>
      </c>
      <c r="O84" s="26"/>
    </row>
    <row r="85" spans="1:15" x14ac:dyDescent="0.3">
      <c r="A85" s="10" t="s">
        <v>185</v>
      </c>
      <c r="B85" s="10" t="s">
        <v>186</v>
      </c>
      <c r="C85" s="10" t="s">
        <v>182</v>
      </c>
      <c r="D85" s="9" t="s">
        <v>12</v>
      </c>
      <c r="E85" s="26">
        <f>600</f>
        <v>600</v>
      </c>
      <c r="F85" s="26">
        <f t="shared" si="18"/>
        <v>400</v>
      </c>
      <c r="G85" s="26">
        <f t="shared" si="19"/>
        <v>300</v>
      </c>
      <c r="H85" s="26">
        <f t="shared" si="25"/>
        <v>250</v>
      </c>
      <c r="I85" s="26">
        <f t="shared" si="25"/>
        <v>200</v>
      </c>
      <c r="J85" s="26">
        <f t="shared" si="20"/>
        <v>14809.458064516128</v>
      </c>
      <c r="K85" s="26">
        <f t="shared" si="21"/>
        <v>14609.458064516128</v>
      </c>
      <c r="L85" s="26">
        <f t="shared" si="22"/>
        <v>14509.458064516128</v>
      </c>
      <c r="M85" s="26">
        <f t="shared" si="23"/>
        <v>14459.458064516128</v>
      </c>
      <c r="N85" s="26">
        <f t="shared" si="24"/>
        <v>14409.458064516128</v>
      </c>
      <c r="O85" s="26"/>
    </row>
    <row r="86" spans="1:15" x14ac:dyDescent="0.3">
      <c r="A86" s="10" t="s">
        <v>187</v>
      </c>
      <c r="B86" s="10" t="s">
        <v>188</v>
      </c>
      <c r="C86" s="10" t="s">
        <v>182</v>
      </c>
      <c r="D86" s="9" t="s">
        <v>12</v>
      </c>
      <c r="E86" s="26">
        <f>600</f>
        <v>600</v>
      </c>
      <c r="F86" s="26">
        <f t="shared" si="18"/>
        <v>400</v>
      </c>
      <c r="G86" s="26">
        <f t="shared" si="19"/>
        <v>300</v>
      </c>
      <c r="H86" s="26">
        <f t="shared" si="25"/>
        <v>250</v>
      </c>
      <c r="I86" s="26">
        <f t="shared" si="25"/>
        <v>200</v>
      </c>
      <c r="J86" s="26">
        <f t="shared" si="20"/>
        <v>14809.458064516128</v>
      </c>
      <c r="K86" s="26">
        <f t="shared" si="21"/>
        <v>14609.458064516128</v>
      </c>
      <c r="L86" s="26">
        <f t="shared" si="22"/>
        <v>14509.458064516128</v>
      </c>
      <c r="M86" s="26">
        <f t="shared" si="23"/>
        <v>14459.458064516128</v>
      </c>
      <c r="N86" s="26">
        <f t="shared" si="24"/>
        <v>14409.458064516128</v>
      </c>
      <c r="O86" s="26"/>
    </row>
    <row r="87" spans="1:15" x14ac:dyDescent="0.3">
      <c r="A87" s="10" t="s">
        <v>189</v>
      </c>
      <c r="B87" s="10" t="s">
        <v>190</v>
      </c>
      <c r="C87" s="10" t="s">
        <v>182</v>
      </c>
      <c r="D87" s="9" t="s">
        <v>12</v>
      </c>
      <c r="E87" s="26">
        <f>600</f>
        <v>600</v>
      </c>
      <c r="F87" s="26">
        <f t="shared" si="18"/>
        <v>400</v>
      </c>
      <c r="G87" s="26">
        <f t="shared" si="19"/>
        <v>300</v>
      </c>
      <c r="H87" s="26">
        <f t="shared" si="25"/>
        <v>250</v>
      </c>
      <c r="I87" s="26">
        <f t="shared" si="25"/>
        <v>200</v>
      </c>
      <c r="J87" s="26">
        <f t="shared" si="20"/>
        <v>14809.458064516128</v>
      </c>
      <c r="K87" s="26">
        <f t="shared" si="21"/>
        <v>14609.458064516128</v>
      </c>
      <c r="L87" s="26">
        <f t="shared" si="22"/>
        <v>14509.458064516128</v>
      </c>
      <c r="M87" s="26">
        <f t="shared" si="23"/>
        <v>14459.458064516128</v>
      </c>
      <c r="N87" s="26">
        <f t="shared" si="24"/>
        <v>14409.458064516128</v>
      </c>
      <c r="O87" s="26"/>
    </row>
    <row r="88" spans="1:15" x14ac:dyDescent="0.3">
      <c r="A88" s="10" t="s">
        <v>191</v>
      </c>
      <c r="B88" s="10" t="s">
        <v>192</v>
      </c>
      <c r="C88" s="10" t="s">
        <v>182</v>
      </c>
      <c r="D88" s="9" t="s">
        <v>12</v>
      </c>
      <c r="E88" s="26">
        <f>600</f>
        <v>600</v>
      </c>
      <c r="F88" s="26">
        <f t="shared" si="18"/>
        <v>400</v>
      </c>
      <c r="G88" s="26">
        <f t="shared" si="19"/>
        <v>300</v>
      </c>
      <c r="H88" s="26">
        <f t="shared" si="25"/>
        <v>250</v>
      </c>
      <c r="I88" s="26">
        <f t="shared" si="25"/>
        <v>200</v>
      </c>
      <c r="J88" s="26">
        <f t="shared" si="20"/>
        <v>14809.458064516128</v>
      </c>
      <c r="K88" s="26">
        <f t="shared" si="21"/>
        <v>14609.458064516128</v>
      </c>
      <c r="L88" s="26">
        <f t="shared" si="22"/>
        <v>14509.458064516128</v>
      </c>
      <c r="M88" s="26">
        <f t="shared" si="23"/>
        <v>14459.458064516128</v>
      </c>
      <c r="N88" s="26">
        <f t="shared" si="24"/>
        <v>14409.458064516128</v>
      </c>
      <c r="O88" s="26"/>
    </row>
    <row r="89" spans="1:15" x14ac:dyDescent="0.3">
      <c r="A89" s="10" t="s">
        <v>193</v>
      </c>
      <c r="B89" s="10" t="s">
        <v>194</v>
      </c>
      <c r="C89" s="10" t="s">
        <v>182</v>
      </c>
      <c r="D89" s="9" t="s">
        <v>12</v>
      </c>
      <c r="E89" s="26">
        <f>300</f>
        <v>300</v>
      </c>
      <c r="F89" s="26">
        <f t="shared" si="18"/>
        <v>100</v>
      </c>
      <c r="G89" s="26">
        <f t="shared" si="19"/>
        <v>0</v>
      </c>
      <c r="H89" s="26">
        <f t="shared" si="25"/>
        <v>-50</v>
      </c>
      <c r="I89" s="26">
        <f t="shared" si="25"/>
        <v>-100</v>
      </c>
      <c r="J89" s="26">
        <f t="shared" si="20"/>
        <v>14509.458064516128</v>
      </c>
      <c r="K89" s="26">
        <f t="shared" si="21"/>
        <v>14309.458064516128</v>
      </c>
      <c r="L89" s="26">
        <f t="shared" si="22"/>
        <v>14209.458064516128</v>
      </c>
      <c r="M89" s="26">
        <f t="shared" si="23"/>
        <v>14159.458064516128</v>
      </c>
      <c r="N89" s="26">
        <f t="shared" si="24"/>
        <v>14109.458064516128</v>
      </c>
      <c r="O89" s="26"/>
    </row>
    <row r="90" spans="1:15" x14ac:dyDescent="0.3">
      <c r="A90" s="10" t="s">
        <v>195</v>
      </c>
      <c r="B90" s="10" t="s">
        <v>196</v>
      </c>
      <c r="C90" s="10" t="s">
        <v>182</v>
      </c>
      <c r="D90" s="9" t="s">
        <v>12</v>
      </c>
      <c r="E90" s="26">
        <f>600</f>
        <v>600</v>
      </c>
      <c r="F90" s="26">
        <f t="shared" si="18"/>
        <v>400</v>
      </c>
      <c r="G90" s="26">
        <f t="shared" si="19"/>
        <v>300</v>
      </c>
      <c r="H90" s="26">
        <f t="shared" si="25"/>
        <v>250</v>
      </c>
      <c r="I90" s="26">
        <f t="shared" si="25"/>
        <v>200</v>
      </c>
      <c r="J90" s="26">
        <f t="shared" si="20"/>
        <v>14809.458064516128</v>
      </c>
      <c r="K90" s="26">
        <f t="shared" si="21"/>
        <v>14609.458064516128</v>
      </c>
      <c r="L90" s="26">
        <f t="shared" si="22"/>
        <v>14509.458064516128</v>
      </c>
      <c r="M90" s="26">
        <f t="shared" si="23"/>
        <v>14459.458064516128</v>
      </c>
      <c r="N90" s="26">
        <f t="shared" si="24"/>
        <v>14409.458064516128</v>
      </c>
      <c r="O90" s="26"/>
    </row>
    <row r="91" spans="1:15" x14ac:dyDescent="0.3">
      <c r="A91" s="10" t="s">
        <v>197</v>
      </c>
      <c r="B91" s="10" t="s">
        <v>198</v>
      </c>
      <c r="C91" s="10" t="s">
        <v>199</v>
      </c>
      <c r="D91" s="9" t="s">
        <v>12</v>
      </c>
      <c r="E91" s="26">
        <f>300</f>
        <v>300</v>
      </c>
      <c r="F91" s="26">
        <f t="shared" si="18"/>
        <v>100</v>
      </c>
      <c r="G91" s="26">
        <f t="shared" si="19"/>
        <v>0</v>
      </c>
      <c r="H91" s="26">
        <f t="shared" si="25"/>
        <v>-50</v>
      </c>
      <c r="I91" s="26">
        <f t="shared" si="25"/>
        <v>-100</v>
      </c>
      <c r="J91" s="26">
        <f t="shared" si="20"/>
        <v>14509.458064516128</v>
      </c>
      <c r="K91" s="26">
        <f t="shared" si="21"/>
        <v>14309.458064516128</v>
      </c>
      <c r="L91" s="26">
        <f t="shared" si="22"/>
        <v>14209.458064516128</v>
      </c>
      <c r="M91" s="26">
        <f t="shared" si="23"/>
        <v>14159.458064516128</v>
      </c>
      <c r="N91" s="26">
        <f t="shared" si="24"/>
        <v>14109.458064516128</v>
      </c>
      <c r="O91" s="26"/>
    </row>
    <row r="92" spans="1:15" x14ac:dyDescent="0.3">
      <c r="A92" s="10" t="s">
        <v>200</v>
      </c>
      <c r="B92" s="10" t="s">
        <v>201</v>
      </c>
      <c r="C92" s="10" t="s">
        <v>199</v>
      </c>
      <c r="D92" s="9" t="s">
        <v>12</v>
      </c>
      <c r="E92" s="26">
        <f>300</f>
        <v>300</v>
      </c>
      <c r="F92" s="26">
        <f t="shared" si="18"/>
        <v>100</v>
      </c>
      <c r="G92" s="26">
        <f t="shared" si="19"/>
        <v>0</v>
      </c>
      <c r="H92" s="26">
        <f t="shared" si="25"/>
        <v>-50</v>
      </c>
      <c r="I92" s="26">
        <f t="shared" si="25"/>
        <v>-100</v>
      </c>
      <c r="J92" s="26">
        <f t="shared" si="20"/>
        <v>14509.458064516128</v>
      </c>
      <c r="K92" s="26">
        <f t="shared" si="21"/>
        <v>14309.458064516128</v>
      </c>
      <c r="L92" s="26">
        <f t="shared" si="22"/>
        <v>14209.458064516128</v>
      </c>
      <c r="M92" s="26">
        <f t="shared" si="23"/>
        <v>14159.458064516128</v>
      </c>
      <c r="N92" s="26">
        <f t="shared" si="24"/>
        <v>14109.458064516128</v>
      </c>
      <c r="O92" s="26"/>
    </row>
    <row r="93" spans="1:15" x14ac:dyDescent="0.3">
      <c r="A93" s="10" t="s">
        <v>202</v>
      </c>
      <c r="B93" s="10" t="s">
        <v>203</v>
      </c>
      <c r="C93" s="10" t="s">
        <v>199</v>
      </c>
      <c r="D93" s="9" t="s">
        <v>12</v>
      </c>
      <c r="E93" s="26">
        <f>300</f>
        <v>300</v>
      </c>
      <c r="F93" s="26">
        <f t="shared" si="18"/>
        <v>100</v>
      </c>
      <c r="G93" s="26">
        <f t="shared" si="19"/>
        <v>0</v>
      </c>
      <c r="H93" s="26">
        <f t="shared" si="25"/>
        <v>-50</v>
      </c>
      <c r="I93" s="26">
        <f t="shared" si="25"/>
        <v>-100</v>
      </c>
      <c r="J93" s="26">
        <f t="shared" si="20"/>
        <v>14509.458064516128</v>
      </c>
      <c r="K93" s="26">
        <f t="shared" si="21"/>
        <v>14309.458064516128</v>
      </c>
      <c r="L93" s="26">
        <f t="shared" si="22"/>
        <v>14209.458064516128</v>
      </c>
      <c r="M93" s="26">
        <f t="shared" si="23"/>
        <v>14159.458064516128</v>
      </c>
      <c r="N93" s="26">
        <f t="shared" si="24"/>
        <v>14109.458064516128</v>
      </c>
      <c r="O93" s="26"/>
    </row>
    <row r="94" spans="1:15" x14ac:dyDescent="0.3">
      <c r="A94" s="10" t="s">
        <v>204</v>
      </c>
      <c r="B94" s="10" t="s">
        <v>205</v>
      </c>
      <c r="C94" s="10" t="s">
        <v>199</v>
      </c>
      <c r="D94" s="9" t="s">
        <v>12</v>
      </c>
      <c r="E94" s="26">
        <f>300</f>
        <v>300</v>
      </c>
      <c r="F94" s="26">
        <f t="shared" si="18"/>
        <v>100</v>
      </c>
      <c r="G94" s="26">
        <f t="shared" si="19"/>
        <v>0</v>
      </c>
      <c r="H94" s="26">
        <f t="shared" si="25"/>
        <v>-50</v>
      </c>
      <c r="I94" s="26">
        <f t="shared" si="25"/>
        <v>-100</v>
      </c>
      <c r="J94" s="26">
        <f t="shared" si="20"/>
        <v>14509.458064516128</v>
      </c>
      <c r="K94" s="26">
        <f t="shared" si="21"/>
        <v>14309.458064516128</v>
      </c>
      <c r="L94" s="26">
        <f t="shared" si="22"/>
        <v>14209.458064516128</v>
      </c>
      <c r="M94" s="26">
        <f t="shared" si="23"/>
        <v>14159.458064516128</v>
      </c>
      <c r="N94" s="26">
        <f t="shared" si="24"/>
        <v>14109.458064516128</v>
      </c>
      <c r="O94" s="26"/>
    </row>
    <row r="95" spans="1:15" x14ac:dyDescent="0.3">
      <c r="A95" s="10" t="s">
        <v>206</v>
      </c>
      <c r="B95" s="10" t="s">
        <v>207</v>
      </c>
      <c r="C95" s="10" t="s">
        <v>199</v>
      </c>
      <c r="D95" s="9" t="s">
        <v>12</v>
      </c>
      <c r="E95" s="26">
        <f>300</f>
        <v>300</v>
      </c>
      <c r="F95" s="26">
        <f t="shared" si="18"/>
        <v>100</v>
      </c>
      <c r="G95" s="26">
        <f t="shared" si="19"/>
        <v>0</v>
      </c>
      <c r="H95" s="26">
        <f t="shared" si="25"/>
        <v>-50</v>
      </c>
      <c r="I95" s="26">
        <f t="shared" si="25"/>
        <v>-100</v>
      </c>
      <c r="J95" s="26">
        <f t="shared" si="20"/>
        <v>14509.458064516128</v>
      </c>
      <c r="K95" s="26">
        <f t="shared" si="21"/>
        <v>14309.458064516128</v>
      </c>
      <c r="L95" s="26">
        <f t="shared" si="22"/>
        <v>14209.458064516128</v>
      </c>
      <c r="M95" s="26">
        <f t="shared" si="23"/>
        <v>14159.458064516128</v>
      </c>
      <c r="N95" s="26">
        <f t="shared" si="24"/>
        <v>14109.458064516128</v>
      </c>
      <c r="O95" s="26"/>
    </row>
    <row r="96" spans="1:15" x14ac:dyDescent="0.3">
      <c r="A96" s="10" t="s">
        <v>208</v>
      </c>
      <c r="B96" s="10" t="s">
        <v>209</v>
      </c>
      <c r="C96" s="10" t="s">
        <v>199</v>
      </c>
      <c r="D96" s="9" t="s">
        <v>12</v>
      </c>
      <c r="E96" s="26">
        <f>300</f>
        <v>300</v>
      </c>
      <c r="F96" s="26">
        <f t="shared" si="18"/>
        <v>100</v>
      </c>
      <c r="G96" s="26">
        <f t="shared" si="19"/>
        <v>0</v>
      </c>
      <c r="H96" s="26">
        <f t="shared" si="25"/>
        <v>-50</v>
      </c>
      <c r="I96" s="26">
        <f t="shared" si="25"/>
        <v>-100</v>
      </c>
      <c r="J96" s="26">
        <f t="shared" si="20"/>
        <v>14509.458064516128</v>
      </c>
      <c r="K96" s="26">
        <f t="shared" si="21"/>
        <v>14309.458064516128</v>
      </c>
      <c r="L96" s="26">
        <f t="shared" si="22"/>
        <v>14209.458064516128</v>
      </c>
      <c r="M96" s="26">
        <f t="shared" si="23"/>
        <v>14159.458064516128</v>
      </c>
      <c r="N96" s="26">
        <f t="shared" si="24"/>
        <v>14109.458064516128</v>
      </c>
      <c r="O96" s="26"/>
    </row>
    <row r="97" spans="1:15" x14ac:dyDescent="0.3">
      <c r="A97" s="10" t="s">
        <v>210</v>
      </c>
      <c r="B97" s="10" t="s">
        <v>211</v>
      </c>
      <c r="C97" s="10" t="s">
        <v>199</v>
      </c>
      <c r="D97" s="9" t="s">
        <v>12</v>
      </c>
      <c r="E97" s="26">
        <f>300</f>
        <v>300</v>
      </c>
      <c r="F97" s="26">
        <f t="shared" si="18"/>
        <v>100</v>
      </c>
      <c r="G97" s="26">
        <f t="shared" si="19"/>
        <v>0</v>
      </c>
      <c r="H97" s="26">
        <f t="shared" si="25"/>
        <v>-50</v>
      </c>
      <c r="I97" s="26">
        <f t="shared" si="25"/>
        <v>-100</v>
      </c>
      <c r="J97" s="26">
        <f t="shared" si="20"/>
        <v>14509.458064516128</v>
      </c>
      <c r="K97" s="26">
        <f t="shared" si="21"/>
        <v>14309.458064516128</v>
      </c>
      <c r="L97" s="26">
        <f t="shared" si="22"/>
        <v>14209.458064516128</v>
      </c>
      <c r="M97" s="26">
        <f t="shared" si="23"/>
        <v>14159.458064516128</v>
      </c>
      <c r="N97" s="26">
        <f t="shared" si="24"/>
        <v>14109.458064516128</v>
      </c>
      <c r="O97" s="26"/>
    </row>
    <row r="98" spans="1:15" x14ac:dyDescent="0.3">
      <c r="A98" s="10" t="s">
        <v>212</v>
      </c>
      <c r="B98" s="10" t="s">
        <v>213</v>
      </c>
      <c r="C98" s="10" t="s">
        <v>199</v>
      </c>
      <c r="D98" s="9" t="s">
        <v>12</v>
      </c>
      <c r="E98" s="26">
        <f>300</f>
        <v>300</v>
      </c>
      <c r="F98" s="26">
        <f t="shared" ref="F98:F126" si="26">IF(E98&gt;0,E98-200,E98)</f>
        <v>100</v>
      </c>
      <c r="G98" s="26">
        <f t="shared" ref="G98:G126" si="27">F98-100</f>
        <v>0</v>
      </c>
      <c r="H98" s="26">
        <f t="shared" si="25"/>
        <v>-50</v>
      </c>
      <c r="I98" s="26">
        <f t="shared" si="25"/>
        <v>-100</v>
      </c>
      <c r="J98" s="26">
        <f t="shared" ref="J98:J126" si="28">+E98+$O$2</f>
        <v>14509.458064516128</v>
      </c>
      <c r="K98" s="26">
        <f t="shared" ref="K98:K126" si="29">+F98+$O$2</f>
        <v>14309.458064516128</v>
      </c>
      <c r="L98" s="26">
        <f t="shared" ref="L98:L126" si="30">+G98+$O$2</f>
        <v>14209.458064516128</v>
      </c>
      <c r="M98" s="26">
        <f t="shared" ref="M98:M126" si="31">+H98+$O$2</f>
        <v>14159.458064516128</v>
      </c>
      <c r="N98" s="26">
        <f t="shared" ref="N98:N126" si="32">+I98+$O$2</f>
        <v>14109.458064516128</v>
      </c>
      <c r="O98" s="26"/>
    </row>
    <row r="99" spans="1:15" x14ac:dyDescent="0.3">
      <c r="A99" s="10" t="s">
        <v>214</v>
      </c>
      <c r="B99" s="10" t="s">
        <v>215</v>
      </c>
      <c r="C99" s="10" t="s">
        <v>199</v>
      </c>
      <c r="D99" s="9" t="s">
        <v>12</v>
      </c>
      <c r="E99" s="26">
        <f>300</f>
        <v>300</v>
      </c>
      <c r="F99" s="26">
        <f t="shared" si="26"/>
        <v>100</v>
      </c>
      <c r="G99" s="26">
        <f t="shared" si="27"/>
        <v>0</v>
      </c>
      <c r="H99" s="26">
        <f t="shared" si="25"/>
        <v>-50</v>
      </c>
      <c r="I99" s="26">
        <f t="shared" si="25"/>
        <v>-100</v>
      </c>
      <c r="J99" s="26">
        <f t="shared" si="28"/>
        <v>14509.458064516128</v>
      </c>
      <c r="K99" s="26">
        <f t="shared" si="29"/>
        <v>14309.458064516128</v>
      </c>
      <c r="L99" s="26">
        <f t="shared" si="30"/>
        <v>14209.458064516128</v>
      </c>
      <c r="M99" s="26">
        <f t="shared" si="31"/>
        <v>14159.458064516128</v>
      </c>
      <c r="N99" s="26">
        <f t="shared" si="32"/>
        <v>14109.458064516128</v>
      </c>
      <c r="O99" s="26"/>
    </row>
    <row r="100" spans="1:15" x14ac:dyDescent="0.3">
      <c r="A100" s="10" t="s">
        <v>216</v>
      </c>
      <c r="B100" s="10" t="s">
        <v>217</v>
      </c>
      <c r="C100" s="10" t="s">
        <v>199</v>
      </c>
      <c r="D100" s="9" t="s">
        <v>12</v>
      </c>
      <c r="E100" s="26">
        <f>300</f>
        <v>300</v>
      </c>
      <c r="F100" s="26">
        <f t="shared" si="26"/>
        <v>100</v>
      </c>
      <c r="G100" s="26">
        <f t="shared" si="27"/>
        <v>0</v>
      </c>
      <c r="H100" s="26">
        <f t="shared" si="25"/>
        <v>-50</v>
      </c>
      <c r="I100" s="26">
        <f t="shared" si="25"/>
        <v>-100</v>
      </c>
      <c r="J100" s="26">
        <f t="shared" si="28"/>
        <v>14509.458064516128</v>
      </c>
      <c r="K100" s="26">
        <f t="shared" si="29"/>
        <v>14309.458064516128</v>
      </c>
      <c r="L100" s="26">
        <f t="shared" si="30"/>
        <v>14209.458064516128</v>
      </c>
      <c r="M100" s="26">
        <f t="shared" si="31"/>
        <v>14159.458064516128</v>
      </c>
      <c r="N100" s="26">
        <f t="shared" si="32"/>
        <v>14109.458064516128</v>
      </c>
      <c r="O100" s="26"/>
    </row>
    <row r="101" spans="1:15" x14ac:dyDescent="0.3">
      <c r="A101" s="10" t="s">
        <v>218</v>
      </c>
      <c r="B101" s="10" t="s">
        <v>219</v>
      </c>
      <c r="C101" s="10" t="s">
        <v>199</v>
      </c>
      <c r="D101" s="9" t="s">
        <v>12</v>
      </c>
      <c r="E101" s="26">
        <f>300</f>
        <v>300</v>
      </c>
      <c r="F101" s="26">
        <f t="shared" si="26"/>
        <v>100</v>
      </c>
      <c r="G101" s="26">
        <f t="shared" si="27"/>
        <v>0</v>
      </c>
      <c r="H101" s="26">
        <f t="shared" si="25"/>
        <v>-50</v>
      </c>
      <c r="I101" s="26">
        <f t="shared" si="25"/>
        <v>-100</v>
      </c>
      <c r="J101" s="26">
        <f t="shared" si="28"/>
        <v>14509.458064516128</v>
      </c>
      <c r="K101" s="26">
        <f t="shared" si="29"/>
        <v>14309.458064516128</v>
      </c>
      <c r="L101" s="26">
        <f t="shared" si="30"/>
        <v>14209.458064516128</v>
      </c>
      <c r="M101" s="26">
        <f t="shared" si="31"/>
        <v>14159.458064516128</v>
      </c>
      <c r="N101" s="26">
        <f t="shared" si="32"/>
        <v>14109.458064516128</v>
      </c>
      <c r="O101" s="26"/>
    </row>
    <row r="102" spans="1:15" x14ac:dyDescent="0.3">
      <c r="A102" s="10" t="s">
        <v>220</v>
      </c>
      <c r="B102" s="10" t="s">
        <v>221</v>
      </c>
      <c r="C102" s="10" t="s">
        <v>199</v>
      </c>
      <c r="D102" s="9" t="s">
        <v>12</v>
      </c>
      <c r="E102" s="26">
        <f>300</f>
        <v>300</v>
      </c>
      <c r="F102" s="26">
        <f t="shared" si="26"/>
        <v>100</v>
      </c>
      <c r="G102" s="26">
        <f t="shared" si="27"/>
        <v>0</v>
      </c>
      <c r="H102" s="26">
        <f t="shared" ref="H102:I121" si="33">G102-50</f>
        <v>-50</v>
      </c>
      <c r="I102" s="26">
        <f t="shared" si="33"/>
        <v>-100</v>
      </c>
      <c r="J102" s="26">
        <f t="shared" si="28"/>
        <v>14509.458064516128</v>
      </c>
      <c r="K102" s="26">
        <f t="shared" si="29"/>
        <v>14309.458064516128</v>
      </c>
      <c r="L102" s="26">
        <f t="shared" si="30"/>
        <v>14209.458064516128</v>
      </c>
      <c r="M102" s="26">
        <f t="shared" si="31"/>
        <v>14159.458064516128</v>
      </c>
      <c r="N102" s="26">
        <f t="shared" si="32"/>
        <v>14109.458064516128</v>
      </c>
      <c r="O102" s="26"/>
    </row>
    <row r="103" spans="1:15" x14ac:dyDescent="0.3">
      <c r="A103" s="10" t="s">
        <v>222</v>
      </c>
      <c r="B103" s="10" t="s">
        <v>223</v>
      </c>
      <c r="C103" s="10" t="s">
        <v>224</v>
      </c>
      <c r="D103" s="9" t="s">
        <v>12</v>
      </c>
      <c r="E103" s="26">
        <f>400</f>
        <v>400</v>
      </c>
      <c r="F103" s="26">
        <f t="shared" si="26"/>
        <v>200</v>
      </c>
      <c r="G103" s="26">
        <f t="shared" si="27"/>
        <v>100</v>
      </c>
      <c r="H103" s="26">
        <f t="shared" si="33"/>
        <v>50</v>
      </c>
      <c r="I103" s="26">
        <f t="shared" si="33"/>
        <v>0</v>
      </c>
      <c r="J103" s="26">
        <f t="shared" si="28"/>
        <v>14609.458064516128</v>
      </c>
      <c r="K103" s="26">
        <f t="shared" si="29"/>
        <v>14409.458064516128</v>
      </c>
      <c r="L103" s="26">
        <f t="shared" si="30"/>
        <v>14309.458064516128</v>
      </c>
      <c r="M103" s="26">
        <f t="shared" si="31"/>
        <v>14259.458064516128</v>
      </c>
      <c r="N103" s="26">
        <f t="shared" si="32"/>
        <v>14209.458064516128</v>
      </c>
      <c r="O103" s="26"/>
    </row>
    <row r="104" spans="1:15" x14ac:dyDescent="0.3">
      <c r="A104" s="10" t="s">
        <v>225</v>
      </c>
      <c r="B104" s="10" t="s">
        <v>226</v>
      </c>
      <c r="C104" s="10" t="s">
        <v>224</v>
      </c>
      <c r="D104" s="9" t="s">
        <v>12</v>
      </c>
      <c r="E104" s="26">
        <f>400</f>
        <v>400</v>
      </c>
      <c r="F104" s="26">
        <f t="shared" si="26"/>
        <v>200</v>
      </c>
      <c r="G104" s="26">
        <f t="shared" si="27"/>
        <v>100</v>
      </c>
      <c r="H104" s="26">
        <f t="shared" si="33"/>
        <v>50</v>
      </c>
      <c r="I104" s="26">
        <f t="shared" si="33"/>
        <v>0</v>
      </c>
      <c r="J104" s="26">
        <f t="shared" si="28"/>
        <v>14609.458064516128</v>
      </c>
      <c r="K104" s="26">
        <f t="shared" si="29"/>
        <v>14409.458064516128</v>
      </c>
      <c r="L104" s="26">
        <f t="shared" si="30"/>
        <v>14309.458064516128</v>
      </c>
      <c r="M104" s="26">
        <f t="shared" si="31"/>
        <v>14259.458064516128</v>
      </c>
      <c r="N104" s="26">
        <f t="shared" si="32"/>
        <v>14209.458064516128</v>
      </c>
      <c r="O104" s="26"/>
    </row>
    <row r="105" spans="1:15" x14ac:dyDescent="0.3">
      <c r="A105" s="10" t="s">
        <v>227</v>
      </c>
      <c r="B105" s="10" t="s">
        <v>228</v>
      </c>
      <c r="C105" s="10" t="s">
        <v>224</v>
      </c>
      <c r="D105" s="9" t="s">
        <v>12</v>
      </c>
      <c r="E105" s="26">
        <f>400</f>
        <v>400</v>
      </c>
      <c r="F105" s="26">
        <f t="shared" si="26"/>
        <v>200</v>
      </c>
      <c r="G105" s="26">
        <f t="shared" si="27"/>
        <v>100</v>
      </c>
      <c r="H105" s="26">
        <f t="shared" si="33"/>
        <v>50</v>
      </c>
      <c r="I105" s="26">
        <f t="shared" si="33"/>
        <v>0</v>
      </c>
      <c r="J105" s="26">
        <f t="shared" si="28"/>
        <v>14609.458064516128</v>
      </c>
      <c r="K105" s="26">
        <f t="shared" si="29"/>
        <v>14409.458064516128</v>
      </c>
      <c r="L105" s="26">
        <f t="shared" si="30"/>
        <v>14309.458064516128</v>
      </c>
      <c r="M105" s="26">
        <f t="shared" si="31"/>
        <v>14259.458064516128</v>
      </c>
      <c r="N105" s="26">
        <f t="shared" si="32"/>
        <v>14209.458064516128</v>
      </c>
      <c r="O105" s="26"/>
    </row>
    <row r="106" spans="1:15" x14ac:dyDescent="0.3">
      <c r="A106" s="10" t="s">
        <v>229</v>
      </c>
      <c r="B106" s="10" t="s">
        <v>230</v>
      </c>
      <c r="C106" s="10" t="s">
        <v>224</v>
      </c>
      <c r="D106" s="9" t="s">
        <v>12</v>
      </c>
      <c r="E106" s="26">
        <f>400</f>
        <v>400</v>
      </c>
      <c r="F106" s="26">
        <f t="shared" si="26"/>
        <v>200</v>
      </c>
      <c r="G106" s="26">
        <f t="shared" si="27"/>
        <v>100</v>
      </c>
      <c r="H106" s="26">
        <f t="shared" si="33"/>
        <v>50</v>
      </c>
      <c r="I106" s="26">
        <f t="shared" si="33"/>
        <v>0</v>
      </c>
      <c r="J106" s="26">
        <f t="shared" si="28"/>
        <v>14609.458064516128</v>
      </c>
      <c r="K106" s="26">
        <f t="shared" si="29"/>
        <v>14409.458064516128</v>
      </c>
      <c r="L106" s="26">
        <f t="shared" si="30"/>
        <v>14309.458064516128</v>
      </c>
      <c r="M106" s="26">
        <f t="shared" si="31"/>
        <v>14259.458064516128</v>
      </c>
      <c r="N106" s="26">
        <f t="shared" si="32"/>
        <v>14209.458064516128</v>
      </c>
      <c r="O106" s="26"/>
    </row>
    <row r="107" spans="1:15" x14ac:dyDescent="0.3">
      <c r="A107" s="10" t="s">
        <v>231</v>
      </c>
      <c r="B107" s="10" t="s">
        <v>232</v>
      </c>
      <c r="C107" s="10" t="s">
        <v>224</v>
      </c>
      <c r="D107" s="9" t="s">
        <v>12</v>
      </c>
      <c r="E107" s="26">
        <f>400</f>
        <v>400</v>
      </c>
      <c r="F107" s="26">
        <f t="shared" si="26"/>
        <v>200</v>
      </c>
      <c r="G107" s="26">
        <f t="shared" si="27"/>
        <v>100</v>
      </c>
      <c r="H107" s="26">
        <f t="shared" si="33"/>
        <v>50</v>
      </c>
      <c r="I107" s="26">
        <f t="shared" si="33"/>
        <v>0</v>
      </c>
      <c r="J107" s="26">
        <f t="shared" si="28"/>
        <v>14609.458064516128</v>
      </c>
      <c r="K107" s="26">
        <f t="shared" si="29"/>
        <v>14409.458064516128</v>
      </c>
      <c r="L107" s="26">
        <f t="shared" si="30"/>
        <v>14309.458064516128</v>
      </c>
      <c r="M107" s="26">
        <f t="shared" si="31"/>
        <v>14259.458064516128</v>
      </c>
      <c r="N107" s="26">
        <f t="shared" si="32"/>
        <v>14209.458064516128</v>
      </c>
      <c r="O107" s="26"/>
    </row>
    <row r="108" spans="1:15" x14ac:dyDescent="0.3">
      <c r="A108" s="10" t="s">
        <v>233</v>
      </c>
      <c r="B108" s="10" t="s">
        <v>234</v>
      </c>
      <c r="C108" s="10" t="s">
        <v>224</v>
      </c>
      <c r="D108" s="9" t="s">
        <v>12</v>
      </c>
      <c r="E108" s="26">
        <f>400</f>
        <v>400</v>
      </c>
      <c r="F108" s="26">
        <f t="shared" si="26"/>
        <v>200</v>
      </c>
      <c r="G108" s="26">
        <f t="shared" si="27"/>
        <v>100</v>
      </c>
      <c r="H108" s="26">
        <f t="shared" si="33"/>
        <v>50</v>
      </c>
      <c r="I108" s="26">
        <f t="shared" si="33"/>
        <v>0</v>
      </c>
      <c r="J108" s="26">
        <f t="shared" si="28"/>
        <v>14609.458064516128</v>
      </c>
      <c r="K108" s="26">
        <f t="shared" si="29"/>
        <v>14409.458064516128</v>
      </c>
      <c r="L108" s="26">
        <f t="shared" si="30"/>
        <v>14309.458064516128</v>
      </c>
      <c r="M108" s="26">
        <f t="shared" si="31"/>
        <v>14259.458064516128</v>
      </c>
      <c r="N108" s="26">
        <f t="shared" si="32"/>
        <v>14209.458064516128</v>
      </c>
      <c r="O108" s="26"/>
    </row>
    <row r="109" spans="1:15" x14ac:dyDescent="0.3">
      <c r="A109" s="10" t="s">
        <v>235</v>
      </c>
      <c r="B109" s="10" t="s">
        <v>236</v>
      </c>
      <c r="C109" s="10" t="s">
        <v>224</v>
      </c>
      <c r="D109" s="9" t="s">
        <v>12</v>
      </c>
      <c r="E109" s="26">
        <f>400</f>
        <v>400</v>
      </c>
      <c r="F109" s="26">
        <f t="shared" si="26"/>
        <v>200</v>
      </c>
      <c r="G109" s="26">
        <f t="shared" si="27"/>
        <v>100</v>
      </c>
      <c r="H109" s="26">
        <f t="shared" si="33"/>
        <v>50</v>
      </c>
      <c r="I109" s="26">
        <f t="shared" si="33"/>
        <v>0</v>
      </c>
      <c r="J109" s="26">
        <f t="shared" si="28"/>
        <v>14609.458064516128</v>
      </c>
      <c r="K109" s="26">
        <f t="shared" si="29"/>
        <v>14409.458064516128</v>
      </c>
      <c r="L109" s="26">
        <f t="shared" si="30"/>
        <v>14309.458064516128</v>
      </c>
      <c r="M109" s="26">
        <f t="shared" si="31"/>
        <v>14259.458064516128</v>
      </c>
      <c r="N109" s="26">
        <f t="shared" si="32"/>
        <v>14209.458064516128</v>
      </c>
      <c r="O109" s="26"/>
    </row>
    <row r="110" spans="1:15" x14ac:dyDescent="0.3">
      <c r="A110" s="10" t="s">
        <v>237</v>
      </c>
      <c r="B110" s="10" t="s">
        <v>238</v>
      </c>
      <c r="C110" s="10" t="s">
        <v>224</v>
      </c>
      <c r="D110" s="9" t="s">
        <v>12</v>
      </c>
      <c r="E110" s="26">
        <f>400</f>
        <v>400</v>
      </c>
      <c r="F110" s="26">
        <f t="shared" si="26"/>
        <v>200</v>
      </c>
      <c r="G110" s="26">
        <f t="shared" si="27"/>
        <v>100</v>
      </c>
      <c r="H110" s="26">
        <f t="shared" si="33"/>
        <v>50</v>
      </c>
      <c r="I110" s="26">
        <f t="shared" si="33"/>
        <v>0</v>
      </c>
      <c r="J110" s="26">
        <f t="shared" si="28"/>
        <v>14609.458064516128</v>
      </c>
      <c r="K110" s="26">
        <f t="shared" si="29"/>
        <v>14409.458064516128</v>
      </c>
      <c r="L110" s="26">
        <f t="shared" si="30"/>
        <v>14309.458064516128</v>
      </c>
      <c r="M110" s="26">
        <f t="shared" si="31"/>
        <v>14259.458064516128</v>
      </c>
      <c r="N110" s="26">
        <f t="shared" si="32"/>
        <v>14209.458064516128</v>
      </c>
      <c r="O110" s="26"/>
    </row>
    <row r="111" spans="1:15" x14ac:dyDescent="0.3">
      <c r="A111" s="10" t="s">
        <v>239</v>
      </c>
      <c r="B111" s="10" t="s">
        <v>240</v>
      </c>
      <c r="C111" s="10" t="s">
        <v>224</v>
      </c>
      <c r="D111" s="9" t="s">
        <v>12</v>
      </c>
      <c r="E111" s="26">
        <f>400</f>
        <v>400</v>
      </c>
      <c r="F111" s="26">
        <f t="shared" si="26"/>
        <v>200</v>
      </c>
      <c r="G111" s="26">
        <f t="shared" si="27"/>
        <v>100</v>
      </c>
      <c r="H111" s="26">
        <f t="shared" si="33"/>
        <v>50</v>
      </c>
      <c r="I111" s="26">
        <f t="shared" si="33"/>
        <v>0</v>
      </c>
      <c r="J111" s="26">
        <f t="shared" si="28"/>
        <v>14609.458064516128</v>
      </c>
      <c r="K111" s="26">
        <f t="shared" si="29"/>
        <v>14409.458064516128</v>
      </c>
      <c r="L111" s="26">
        <f t="shared" si="30"/>
        <v>14309.458064516128</v>
      </c>
      <c r="M111" s="26">
        <f t="shared" si="31"/>
        <v>14259.458064516128</v>
      </c>
      <c r="N111" s="26">
        <f t="shared" si="32"/>
        <v>14209.458064516128</v>
      </c>
      <c r="O111" s="26"/>
    </row>
    <row r="112" spans="1:15" x14ac:dyDescent="0.3">
      <c r="A112" s="10" t="s">
        <v>241</v>
      </c>
      <c r="B112" s="10" t="s">
        <v>242</v>
      </c>
      <c r="C112" s="10" t="s">
        <v>224</v>
      </c>
      <c r="D112" s="9" t="s">
        <v>12</v>
      </c>
      <c r="E112" s="26">
        <f>400</f>
        <v>400</v>
      </c>
      <c r="F112" s="26">
        <f t="shared" si="26"/>
        <v>200</v>
      </c>
      <c r="G112" s="26">
        <f t="shared" si="27"/>
        <v>100</v>
      </c>
      <c r="H112" s="26">
        <f t="shared" si="33"/>
        <v>50</v>
      </c>
      <c r="I112" s="26">
        <f t="shared" si="33"/>
        <v>0</v>
      </c>
      <c r="J112" s="26">
        <f t="shared" si="28"/>
        <v>14609.458064516128</v>
      </c>
      <c r="K112" s="26">
        <f t="shared" si="29"/>
        <v>14409.458064516128</v>
      </c>
      <c r="L112" s="26">
        <f t="shared" si="30"/>
        <v>14309.458064516128</v>
      </c>
      <c r="M112" s="26">
        <f t="shared" si="31"/>
        <v>14259.458064516128</v>
      </c>
      <c r="N112" s="26">
        <f t="shared" si="32"/>
        <v>14209.458064516128</v>
      </c>
      <c r="O112" s="26"/>
    </row>
    <row r="113" spans="1:15" x14ac:dyDescent="0.3">
      <c r="A113" s="10" t="s">
        <v>243</v>
      </c>
      <c r="B113" s="10" t="s">
        <v>244</v>
      </c>
      <c r="C113" s="10" t="s">
        <v>224</v>
      </c>
      <c r="D113" s="9" t="s">
        <v>12</v>
      </c>
      <c r="E113" s="26">
        <f>400</f>
        <v>400</v>
      </c>
      <c r="F113" s="26">
        <f t="shared" si="26"/>
        <v>200</v>
      </c>
      <c r="G113" s="26">
        <f t="shared" si="27"/>
        <v>100</v>
      </c>
      <c r="H113" s="26">
        <f t="shared" si="33"/>
        <v>50</v>
      </c>
      <c r="I113" s="26">
        <f t="shared" si="33"/>
        <v>0</v>
      </c>
      <c r="J113" s="26">
        <f t="shared" si="28"/>
        <v>14609.458064516128</v>
      </c>
      <c r="K113" s="26">
        <f t="shared" si="29"/>
        <v>14409.458064516128</v>
      </c>
      <c r="L113" s="26">
        <f t="shared" si="30"/>
        <v>14309.458064516128</v>
      </c>
      <c r="M113" s="26">
        <f t="shared" si="31"/>
        <v>14259.458064516128</v>
      </c>
      <c r="N113" s="26">
        <f t="shared" si="32"/>
        <v>14209.458064516128</v>
      </c>
      <c r="O113" s="26"/>
    </row>
    <row r="114" spans="1:15" x14ac:dyDescent="0.3">
      <c r="A114" s="10" t="s">
        <v>245</v>
      </c>
      <c r="B114" s="10" t="s">
        <v>246</v>
      </c>
      <c r="C114" s="10" t="s">
        <v>224</v>
      </c>
      <c r="D114" s="9" t="s">
        <v>12</v>
      </c>
      <c r="E114" s="26">
        <f>400</f>
        <v>400</v>
      </c>
      <c r="F114" s="26">
        <f t="shared" si="26"/>
        <v>200</v>
      </c>
      <c r="G114" s="26">
        <f t="shared" si="27"/>
        <v>100</v>
      </c>
      <c r="H114" s="26">
        <f t="shared" si="33"/>
        <v>50</v>
      </c>
      <c r="I114" s="26">
        <f t="shared" si="33"/>
        <v>0</v>
      </c>
      <c r="J114" s="26">
        <f t="shared" si="28"/>
        <v>14609.458064516128</v>
      </c>
      <c r="K114" s="26">
        <f t="shared" si="29"/>
        <v>14409.458064516128</v>
      </c>
      <c r="L114" s="26">
        <f t="shared" si="30"/>
        <v>14309.458064516128</v>
      </c>
      <c r="M114" s="26">
        <f t="shared" si="31"/>
        <v>14259.458064516128</v>
      </c>
      <c r="N114" s="26">
        <f t="shared" si="32"/>
        <v>14209.458064516128</v>
      </c>
      <c r="O114" s="26"/>
    </row>
    <row r="115" spans="1:15" x14ac:dyDescent="0.3">
      <c r="A115" s="15" t="s">
        <v>247</v>
      </c>
      <c r="B115" s="5" t="s">
        <v>248</v>
      </c>
      <c r="C115" s="5" t="s">
        <v>249</v>
      </c>
      <c r="D115" s="9" t="s">
        <v>12</v>
      </c>
      <c r="E115" s="26">
        <v>300</v>
      </c>
      <c r="F115" s="26">
        <f t="shared" si="26"/>
        <v>100</v>
      </c>
      <c r="G115" s="26">
        <f t="shared" si="27"/>
        <v>0</v>
      </c>
      <c r="H115" s="26">
        <f t="shared" si="33"/>
        <v>-50</v>
      </c>
      <c r="I115" s="26">
        <f t="shared" si="33"/>
        <v>-100</v>
      </c>
      <c r="J115" s="26">
        <f t="shared" si="28"/>
        <v>14509.458064516128</v>
      </c>
      <c r="K115" s="26">
        <f t="shared" si="29"/>
        <v>14309.458064516128</v>
      </c>
      <c r="L115" s="26">
        <f t="shared" si="30"/>
        <v>14209.458064516128</v>
      </c>
      <c r="M115" s="26">
        <f t="shared" si="31"/>
        <v>14159.458064516128</v>
      </c>
      <c r="N115" s="26">
        <f t="shared" si="32"/>
        <v>14109.458064516128</v>
      </c>
      <c r="O115" s="26"/>
    </row>
    <row r="116" spans="1:15" x14ac:dyDescent="0.3">
      <c r="A116" s="15" t="s">
        <v>250</v>
      </c>
      <c r="B116" s="5" t="s">
        <v>251</v>
      </c>
      <c r="C116" s="5" t="s">
        <v>249</v>
      </c>
      <c r="D116" s="9" t="s">
        <v>12</v>
      </c>
      <c r="E116" s="26">
        <v>0</v>
      </c>
      <c r="F116" s="26">
        <f t="shared" si="26"/>
        <v>0</v>
      </c>
      <c r="G116" s="26">
        <f t="shared" si="27"/>
        <v>-100</v>
      </c>
      <c r="H116" s="26">
        <f t="shared" si="33"/>
        <v>-150</v>
      </c>
      <c r="I116" s="26">
        <f t="shared" si="33"/>
        <v>-200</v>
      </c>
      <c r="J116" s="26">
        <f t="shared" si="28"/>
        <v>14209.458064516128</v>
      </c>
      <c r="K116" s="26">
        <f t="shared" si="29"/>
        <v>14209.458064516128</v>
      </c>
      <c r="L116" s="26">
        <f t="shared" si="30"/>
        <v>14109.458064516128</v>
      </c>
      <c r="M116" s="26">
        <f t="shared" si="31"/>
        <v>14059.458064516128</v>
      </c>
      <c r="N116" s="26">
        <f t="shared" si="32"/>
        <v>14009.458064516128</v>
      </c>
      <c r="O116" s="26"/>
    </row>
    <row r="117" spans="1:15" x14ac:dyDescent="0.3">
      <c r="A117" s="15" t="s">
        <v>252</v>
      </c>
      <c r="B117" s="5" t="s">
        <v>253</v>
      </c>
      <c r="C117" s="5" t="s">
        <v>249</v>
      </c>
      <c r="D117" s="9" t="s">
        <v>12</v>
      </c>
      <c r="E117" s="26">
        <v>200</v>
      </c>
      <c r="F117" s="26">
        <f t="shared" si="26"/>
        <v>0</v>
      </c>
      <c r="G117" s="26">
        <f t="shared" si="27"/>
        <v>-100</v>
      </c>
      <c r="H117" s="26">
        <f t="shared" si="33"/>
        <v>-150</v>
      </c>
      <c r="I117" s="26">
        <f t="shared" si="33"/>
        <v>-200</v>
      </c>
      <c r="J117" s="26">
        <f t="shared" si="28"/>
        <v>14409.458064516128</v>
      </c>
      <c r="K117" s="26">
        <f t="shared" si="29"/>
        <v>14209.458064516128</v>
      </c>
      <c r="L117" s="26">
        <f t="shared" si="30"/>
        <v>14109.458064516128</v>
      </c>
      <c r="M117" s="26">
        <f t="shared" si="31"/>
        <v>14059.458064516128</v>
      </c>
      <c r="N117" s="26">
        <f t="shared" si="32"/>
        <v>14009.458064516128</v>
      </c>
      <c r="O117" s="26"/>
    </row>
    <row r="118" spans="1:15" x14ac:dyDescent="0.3">
      <c r="A118" s="15" t="s">
        <v>254</v>
      </c>
      <c r="B118" s="5" t="s">
        <v>255</v>
      </c>
      <c r="C118" s="5" t="s">
        <v>249</v>
      </c>
      <c r="D118" s="9" t="s">
        <v>12</v>
      </c>
      <c r="E118" s="26">
        <v>300</v>
      </c>
      <c r="F118" s="26">
        <f t="shared" si="26"/>
        <v>100</v>
      </c>
      <c r="G118" s="26">
        <f t="shared" si="27"/>
        <v>0</v>
      </c>
      <c r="H118" s="26">
        <f t="shared" si="33"/>
        <v>-50</v>
      </c>
      <c r="I118" s="26">
        <f t="shared" si="33"/>
        <v>-100</v>
      </c>
      <c r="J118" s="26">
        <f t="shared" si="28"/>
        <v>14509.458064516128</v>
      </c>
      <c r="K118" s="26">
        <f t="shared" si="29"/>
        <v>14309.458064516128</v>
      </c>
      <c r="L118" s="26">
        <f t="shared" si="30"/>
        <v>14209.458064516128</v>
      </c>
      <c r="M118" s="26">
        <f t="shared" si="31"/>
        <v>14159.458064516128</v>
      </c>
      <c r="N118" s="26">
        <f t="shared" si="32"/>
        <v>14109.458064516128</v>
      </c>
      <c r="O118" s="26"/>
    </row>
    <row r="119" spans="1:15" x14ac:dyDescent="0.3">
      <c r="A119" s="15" t="s">
        <v>256</v>
      </c>
      <c r="B119" s="5" t="s">
        <v>257</v>
      </c>
      <c r="C119" s="5" t="s">
        <v>249</v>
      </c>
      <c r="D119" s="9" t="s">
        <v>12</v>
      </c>
      <c r="E119" s="26">
        <v>0</v>
      </c>
      <c r="F119" s="26">
        <f t="shared" si="26"/>
        <v>0</v>
      </c>
      <c r="G119" s="26">
        <f t="shared" si="27"/>
        <v>-100</v>
      </c>
      <c r="H119" s="26">
        <f t="shared" si="33"/>
        <v>-150</v>
      </c>
      <c r="I119" s="26">
        <f t="shared" si="33"/>
        <v>-200</v>
      </c>
      <c r="J119" s="26">
        <f t="shared" si="28"/>
        <v>14209.458064516128</v>
      </c>
      <c r="K119" s="26">
        <f t="shared" si="29"/>
        <v>14209.458064516128</v>
      </c>
      <c r="L119" s="26">
        <f t="shared" si="30"/>
        <v>14109.458064516128</v>
      </c>
      <c r="M119" s="26">
        <f t="shared" si="31"/>
        <v>14059.458064516128</v>
      </c>
      <c r="N119" s="26">
        <f t="shared" si="32"/>
        <v>14009.458064516128</v>
      </c>
      <c r="O119" s="26"/>
    </row>
    <row r="120" spans="1:15" x14ac:dyDescent="0.3">
      <c r="A120" s="15" t="s">
        <v>258</v>
      </c>
      <c r="B120" s="5" t="s">
        <v>259</v>
      </c>
      <c r="C120" s="5" t="s">
        <v>249</v>
      </c>
      <c r="D120" s="9" t="s">
        <v>12</v>
      </c>
      <c r="E120" s="26">
        <v>0</v>
      </c>
      <c r="F120" s="26">
        <f t="shared" si="26"/>
        <v>0</v>
      </c>
      <c r="G120" s="26">
        <f t="shared" si="27"/>
        <v>-100</v>
      </c>
      <c r="H120" s="26">
        <f t="shared" si="33"/>
        <v>-150</v>
      </c>
      <c r="I120" s="26">
        <f t="shared" si="33"/>
        <v>-200</v>
      </c>
      <c r="J120" s="26">
        <f t="shared" si="28"/>
        <v>14209.458064516128</v>
      </c>
      <c r="K120" s="26">
        <f t="shared" si="29"/>
        <v>14209.458064516128</v>
      </c>
      <c r="L120" s="26">
        <f t="shared" si="30"/>
        <v>14109.458064516128</v>
      </c>
      <c r="M120" s="26">
        <f t="shared" si="31"/>
        <v>14059.458064516128</v>
      </c>
      <c r="N120" s="26">
        <f t="shared" si="32"/>
        <v>14009.458064516128</v>
      </c>
      <c r="O120" s="26"/>
    </row>
    <row r="121" spans="1:15" x14ac:dyDescent="0.3">
      <c r="A121" s="15" t="s">
        <v>260</v>
      </c>
      <c r="B121" s="5" t="s">
        <v>261</v>
      </c>
      <c r="C121" s="5" t="s">
        <v>249</v>
      </c>
      <c r="D121" s="9" t="s">
        <v>12</v>
      </c>
      <c r="E121" s="26">
        <v>0</v>
      </c>
      <c r="F121" s="26">
        <f t="shared" si="26"/>
        <v>0</v>
      </c>
      <c r="G121" s="26">
        <f t="shared" si="27"/>
        <v>-100</v>
      </c>
      <c r="H121" s="26">
        <f t="shared" si="33"/>
        <v>-150</v>
      </c>
      <c r="I121" s="26">
        <f t="shared" si="33"/>
        <v>-200</v>
      </c>
      <c r="J121" s="26">
        <f t="shared" si="28"/>
        <v>14209.458064516128</v>
      </c>
      <c r="K121" s="26">
        <f t="shared" si="29"/>
        <v>14209.458064516128</v>
      </c>
      <c r="L121" s="26">
        <f t="shared" si="30"/>
        <v>14109.458064516128</v>
      </c>
      <c r="M121" s="26">
        <f t="shared" si="31"/>
        <v>14059.458064516128</v>
      </c>
      <c r="N121" s="26">
        <f t="shared" si="32"/>
        <v>14009.458064516128</v>
      </c>
      <c r="O121" s="26"/>
    </row>
    <row r="122" spans="1:15" x14ac:dyDescent="0.3">
      <c r="A122" s="15" t="s">
        <v>262</v>
      </c>
      <c r="B122" s="5" t="s">
        <v>263</v>
      </c>
      <c r="C122" s="5" t="s">
        <v>249</v>
      </c>
      <c r="D122" s="9" t="s">
        <v>12</v>
      </c>
      <c r="E122" s="26">
        <v>200</v>
      </c>
      <c r="F122" s="26">
        <f t="shared" si="26"/>
        <v>0</v>
      </c>
      <c r="G122" s="26">
        <f t="shared" si="27"/>
        <v>-100</v>
      </c>
      <c r="H122" s="26">
        <f t="shared" ref="H122:I126" si="34">G122-50</f>
        <v>-150</v>
      </c>
      <c r="I122" s="26">
        <f t="shared" si="34"/>
        <v>-200</v>
      </c>
      <c r="J122" s="26">
        <f t="shared" si="28"/>
        <v>14409.458064516128</v>
      </c>
      <c r="K122" s="26">
        <f t="shared" si="29"/>
        <v>14209.458064516128</v>
      </c>
      <c r="L122" s="26">
        <f t="shared" si="30"/>
        <v>14109.458064516128</v>
      </c>
      <c r="M122" s="26">
        <f t="shared" si="31"/>
        <v>14059.458064516128</v>
      </c>
      <c r="N122" s="26">
        <f t="shared" si="32"/>
        <v>14009.458064516128</v>
      </c>
      <c r="O122" s="26"/>
    </row>
    <row r="123" spans="1:15" x14ac:dyDescent="0.3">
      <c r="A123" s="15" t="s">
        <v>264</v>
      </c>
      <c r="B123" s="5" t="s">
        <v>265</v>
      </c>
      <c r="C123" s="5" t="s">
        <v>249</v>
      </c>
      <c r="D123" s="9" t="s">
        <v>12</v>
      </c>
      <c r="E123" s="26">
        <v>200</v>
      </c>
      <c r="F123" s="26">
        <f t="shared" si="26"/>
        <v>0</v>
      </c>
      <c r="G123" s="26">
        <f t="shared" si="27"/>
        <v>-100</v>
      </c>
      <c r="H123" s="26">
        <f t="shared" si="34"/>
        <v>-150</v>
      </c>
      <c r="I123" s="26">
        <f t="shared" si="34"/>
        <v>-200</v>
      </c>
      <c r="J123" s="26">
        <f t="shared" si="28"/>
        <v>14409.458064516128</v>
      </c>
      <c r="K123" s="26">
        <f t="shared" si="29"/>
        <v>14209.458064516128</v>
      </c>
      <c r="L123" s="26">
        <f t="shared" si="30"/>
        <v>14109.458064516128</v>
      </c>
      <c r="M123" s="26">
        <f t="shared" si="31"/>
        <v>14059.458064516128</v>
      </c>
      <c r="N123" s="26">
        <f t="shared" si="32"/>
        <v>14009.458064516128</v>
      </c>
      <c r="O123" s="26"/>
    </row>
    <row r="124" spans="1:15" x14ac:dyDescent="0.3">
      <c r="A124" s="15" t="s">
        <v>266</v>
      </c>
      <c r="B124" s="5" t="s">
        <v>267</v>
      </c>
      <c r="C124" s="5" t="s">
        <v>249</v>
      </c>
      <c r="D124" s="9" t="s">
        <v>12</v>
      </c>
      <c r="E124" s="26">
        <v>0</v>
      </c>
      <c r="F124" s="26">
        <f t="shared" si="26"/>
        <v>0</v>
      </c>
      <c r="G124" s="26">
        <f t="shared" si="27"/>
        <v>-100</v>
      </c>
      <c r="H124" s="26">
        <f t="shared" si="34"/>
        <v>-150</v>
      </c>
      <c r="I124" s="26">
        <f t="shared" si="34"/>
        <v>-200</v>
      </c>
      <c r="J124" s="26">
        <f t="shared" si="28"/>
        <v>14209.458064516128</v>
      </c>
      <c r="K124" s="26">
        <f t="shared" si="29"/>
        <v>14209.458064516128</v>
      </c>
      <c r="L124" s="26">
        <f t="shared" si="30"/>
        <v>14109.458064516128</v>
      </c>
      <c r="M124" s="26">
        <f t="shared" si="31"/>
        <v>14059.458064516128</v>
      </c>
      <c r="N124" s="26">
        <f t="shared" si="32"/>
        <v>14009.458064516128</v>
      </c>
      <c r="O124" s="26"/>
    </row>
    <row r="125" spans="1:15" x14ac:dyDescent="0.3">
      <c r="A125" s="15" t="s">
        <v>268</v>
      </c>
      <c r="B125" s="5" t="s">
        <v>269</v>
      </c>
      <c r="C125" s="5" t="s">
        <v>249</v>
      </c>
      <c r="D125" s="9" t="s">
        <v>12</v>
      </c>
      <c r="E125" s="26">
        <v>0</v>
      </c>
      <c r="F125" s="26">
        <f t="shared" si="26"/>
        <v>0</v>
      </c>
      <c r="G125" s="26">
        <f t="shared" si="27"/>
        <v>-100</v>
      </c>
      <c r="H125" s="26">
        <f t="shared" si="34"/>
        <v>-150</v>
      </c>
      <c r="I125" s="26">
        <f t="shared" si="34"/>
        <v>-200</v>
      </c>
      <c r="J125" s="26">
        <f t="shared" si="28"/>
        <v>14209.458064516128</v>
      </c>
      <c r="K125" s="26">
        <f t="shared" si="29"/>
        <v>14209.458064516128</v>
      </c>
      <c r="L125" s="26">
        <f t="shared" si="30"/>
        <v>14109.458064516128</v>
      </c>
      <c r="M125" s="26">
        <f t="shared" si="31"/>
        <v>14059.458064516128</v>
      </c>
      <c r="N125" s="26">
        <f t="shared" si="32"/>
        <v>14009.458064516128</v>
      </c>
      <c r="O125" s="26"/>
    </row>
    <row r="126" spans="1:15" x14ac:dyDescent="0.3">
      <c r="A126" s="15" t="s">
        <v>270</v>
      </c>
      <c r="B126" s="5" t="s">
        <v>271</v>
      </c>
      <c r="C126" s="5" t="s">
        <v>249</v>
      </c>
      <c r="D126" s="9" t="s">
        <v>12</v>
      </c>
      <c r="E126" s="26">
        <v>200</v>
      </c>
      <c r="F126" s="26">
        <f t="shared" si="26"/>
        <v>0</v>
      </c>
      <c r="G126" s="26">
        <f t="shared" si="27"/>
        <v>-100</v>
      </c>
      <c r="H126" s="26">
        <f t="shared" si="34"/>
        <v>-150</v>
      </c>
      <c r="I126" s="26">
        <f t="shared" si="34"/>
        <v>-200</v>
      </c>
      <c r="J126" s="26">
        <f t="shared" si="28"/>
        <v>14409.458064516128</v>
      </c>
      <c r="K126" s="26">
        <f t="shared" si="29"/>
        <v>14209.458064516128</v>
      </c>
      <c r="L126" s="26">
        <f t="shared" si="30"/>
        <v>14109.458064516128</v>
      </c>
      <c r="M126" s="26">
        <f t="shared" si="31"/>
        <v>14059.458064516128</v>
      </c>
      <c r="N126" s="26">
        <f t="shared" si="32"/>
        <v>14009.458064516128</v>
      </c>
      <c r="O126" s="26"/>
    </row>
    <row r="127" spans="1:15" x14ac:dyDescent="0.3">
      <c r="A127" t="s">
        <v>274</v>
      </c>
      <c r="B127" t="s">
        <v>275</v>
      </c>
      <c r="C127" t="s">
        <v>276</v>
      </c>
      <c r="D127" t="s">
        <v>277</v>
      </c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</row>
    <row r="128" spans="1:15" x14ac:dyDescent="0.3">
      <c r="A128" t="s">
        <v>278</v>
      </c>
      <c r="B128" t="s">
        <v>279</v>
      </c>
      <c r="C128" t="s">
        <v>276</v>
      </c>
      <c r="D128" t="s">
        <v>277</v>
      </c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</row>
    <row r="129" spans="1:15" x14ac:dyDescent="0.3">
      <c r="A129" t="s">
        <v>280</v>
      </c>
      <c r="B129" t="s">
        <v>281</v>
      </c>
      <c r="C129" t="s">
        <v>276</v>
      </c>
      <c r="D129" t="s">
        <v>277</v>
      </c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</row>
    <row r="130" spans="1:15" x14ac:dyDescent="0.3">
      <c r="A130" t="s">
        <v>282</v>
      </c>
      <c r="B130" t="s">
        <v>283</v>
      </c>
      <c r="C130" t="s">
        <v>276</v>
      </c>
      <c r="D130" t="s">
        <v>277</v>
      </c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</row>
    <row r="131" spans="1:15" x14ac:dyDescent="0.3">
      <c r="A131" t="s">
        <v>284</v>
      </c>
      <c r="B131" t="s">
        <v>285</v>
      </c>
      <c r="C131" t="s">
        <v>276</v>
      </c>
      <c r="D131" t="s">
        <v>277</v>
      </c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</row>
    <row r="132" spans="1:15" x14ac:dyDescent="0.3">
      <c r="A132" t="s">
        <v>286</v>
      </c>
      <c r="B132" t="s">
        <v>287</v>
      </c>
      <c r="C132" t="s">
        <v>276</v>
      </c>
      <c r="D132" t="s">
        <v>277</v>
      </c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</row>
    <row r="133" spans="1:15" x14ac:dyDescent="0.3">
      <c r="A133" t="s">
        <v>288</v>
      </c>
      <c r="B133" t="s">
        <v>289</v>
      </c>
      <c r="C133" t="s">
        <v>276</v>
      </c>
      <c r="D133" t="s">
        <v>277</v>
      </c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</row>
    <row r="134" spans="1:15" x14ac:dyDescent="0.3">
      <c r="A134" t="s">
        <v>290</v>
      </c>
      <c r="B134" t="s">
        <v>291</v>
      </c>
      <c r="C134" t="s">
        <v>276</v>
      </c>
      <c r="D134" t="s">
        <v>277</v>
      </c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</row>
    <row r="135" spans="1:15" x14ac:dyDescent="0.3">
      <c r="A135" t="s">
        <v>292</v>
      </c>
      <c r="B135" t="s">
        <v>293</v>
      </c>
      <c r="C135" t="s">
        <v>276</v>
      </c>
      <c r="D135" t="s">
        <v>277</v>
      </c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</row>
    <row r="136" spans="1:15" x14ac:dyDescent="0.3">
      <c r="A136" t="s">
        <v>294</v>
      </c>
      <c r="B136" t="s">
        <v>295</v>
      </c>
      <c r="C136" t="s">
        <v>276</v>
      </c>
      <c r="D136" t="s">
        <v>277</v>
      </c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</row>
    <row r="137" spans="1:15" x14ac:dyDescent="0.3">
      <c r="A137" t="s">
        <v>296</v>
      </c>
      <c r="B137" t="s">
        <v>297</v>
      </c>
      <c r="C137" t="s">
        <v>11</v>
      </c>
      <c r="D137" t="s">
        <v>277</v>
      </c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</row>
    <row r="138" spans="1:15" x14ac:dyDescent="0.3">
      <c r="A138" t="s">
        <v>298</v>
      </c>
      <c r="B138" t="s">
        <v>299</v>
      </c>
      <c r="C138" t="s">
        <v>11</v>
      </c>
      <c r="D138" t="s">
        <v>277</v>
      </c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</row>
    <row r="139" spans="1:15" x14ac:dyDescent="0.3">
      <c r="A139" t="s">
        <v>300</v>
      </c>
      <c r="B139" t="s">
        <v>301</v>
      </c>
      <c r="C139" t="s">
        <v>11</v>
      </c>
      <c r="D139" t="s">
        <v>277</v>
      </c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</row>
    <row r="140" spans="1:15" x14ac:dyDescent="0.3">
      <c r="A140" t="s">
        <v>302</v>
      </c>
      <c r="B140" t="s">
        <v>303</v>
      </c>
      <c r="C140" t="s">
        <v>11</v>
      </c>
      <c r="D140" t="s">
        <v>277</v>
      </c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</row>
    <row r="141" spans="1:15" x14ac:dyDescent="0.3">
      <c r="A141" t="s">
        <v>304</v>
      </c>
      <c r="B141" t="s">
        <v>305</v>
      </c>
      <c r="C141" t="s">
        <v>11</v>
      </c>
      <c r="D141" t="s">
        <v>277</v>
      </c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</row>
    <row r="142" spans="1:15" x14ac:dyDescent="0.3">
      <c r="A142" t="s">
        <v>306</v>
      </c>
      <c r="B142" t="s">
        <v>307</v>
      </c>
      <c r="C142" t="s">
        <v>11</v>
      </c>
      <c r="D142" t="s">
        <v>277</v>
      </c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</row>
    <row r="143" spans="1:15" x14ac:dyDescent="0.3">
      <c r="A143" t="s">
        <v>308</v>
      </c>
      <c r="B143" t="s">
        <v>309</v>
      </c>
      <c r="C143" t="s">
        <v>11</v>
      </c>
      <c r="D143" t="s">
        <v>277</v>
      </c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</row>
    <row r="144" spans="1:15" x14ac:dyDescent="0.3">
      <c r="A144" t="s">
        <v>310</v>
      </c>
      <c r="B144" t="s">
        <v>311</v>
      </c>
      <c r="C144" t="s">
        <v>11</v>
      </c>
      <c r="D144" t="s">
        <v>277</v>
      </c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</row>
    <row r="145" spans="1:15" x14ac:dyDescent="0.3">
      <c r="A145" t="s">
        <v>312</v>
      </c>
      <c r="B145" t="s">
        <v>313</v>
      </c>
      <c r="C145" t="s">
        <v>249</v>
      </c>
      <c r="D145" t="s">
        <v>277</v>
      </c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</row>
    <row r="146" spans="1:15" x14ac:dyDescent="0.3">
      <c r="A146" t="s">
        <v>314</v>
      </c>
      <c r="B146" t="s">
        <v>315</v>
      </c>
      <c r="C146" t="s">
        <v>249</v>
      </c>
      <c r="D146" t="s">
        <v>277</v>
      </c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</row>
    <row r="147" spans="1:15" x14ac:dyDescent="0.3">
      <c r="A147" t="s">
        <v>316</v>
      </c>
      <c r="B147" t="s">
        <v>317</v>
      </c>
      <c r="C147" t="s">
        <v>249</v>
      </c>
      <c r="D147" t="s">
        <v>277</v>
      </c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</row>
    <row r="148" spans="1:15" x14ac:dyDescent="0.3">
      <c r="A148" t="s">
        <v>318</v>
      </c>
      <c r="B148" t="s">
        <v>319</v>
      </c>
      <c r="C148" t="s">
        <v>249</v>
      </c>
      <c r="D148" t="s">
        <v>277</v>
      </c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</row>
    <row r="149" spans="1:15" x14ac:dyDescent="0.3">
      <c r="A149" t="s">
        <v>320</v>
      </c>
      <c r="B149" t="s">
        <v>321</v>
      </c>
      <c r="C149" t="s">
        <v>249</v>
      </c>
      <c r="D149" t="s">
        <v>277</v>
      </c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</row>
    <row r="150" spans="1:15" x14ac:dyDescent="0.3">
      <c r="A150" t="s">
        <v>322</v>
      </c>
      <c r="B150" t="s">
        <v>323</v>
      </c>
      <c r="C150" t="s">
        <v>249</v>
      </c>
      <c r="D150" t="s">
        <v>277</v>
      </c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</row>
    <row r="151" spans="1:15" x14ac:dyDescent="0.3">
      <c r="A151" t="s">
        <v>324</v>
      </c>
      <c r="B151" t="s">
        <v>325</v>
      </c>
      <c r="C151" t="s">
        <v>249</v>
      </c>
      <c r="D151" t="s">
        <v>277</v>
      </c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</row>
    <row r="152" spans="1:15" x14ac:dyDescent="0.3">
      <c r="A152" t="s">
        <v>326</v>
      </c>
      <c r="B152" t="s">
        <v>327</v>
      </c>
      <c r="C152" t="s">
        <v>249</v>
      </c>
      <c r="D152" t="s">
        <v>277</v>
      </c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</row>
    <row r="153" spans="1:15" x14ac:dyDescent="0.3">
      <c r="A153" t="s">
        <v>328</v>
      </c>
      <c r="B153" t="s">
        <v>329</v>
      </c>
      <c r="C153" t="s">
        <v>249</v>
      </c>
      <c r="D153" t="s">
        <v>277</v>
      </c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</row>
    <row r="154" spans="1:15" x14ac:dyDescent="0.3">
      <c r="A154" t="s">
        <v>330</v>
      </c>
      <c r="B154" t="s">
        <v>331</v>
      </c>
      <c r="C154" t="s">
        <v>249</v>
      </c>
      <c r="D154" t="s">
        <v>277</v>
      </c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spans="1:15" x14ac:dyDescent="0.3">
      <c r="A155" t="s">
        <v>332</v>
      </c>
      <c r="B155" t="s">
        <v>333</v>
      </c>
      <c r="C155" t="s">
        <v>115</v>
      </c>
      <c r="D155" t="s">
        <v>277</v>
      </c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</row>
    <row r="156" spans="1:15" x14ac:dyDescent="0.3">
      <c r="A156" t="s">
        <v>334</v>
      </c>
      <c r="B156" t="s">
        <v>335</v>
      </c>
      <c r="C156" t="s">
        <v>115</v>
      </c>
      <c r="D156" t="s">
        <v>277</v>
      </c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</row>
    <row r="157" spans="1:15" x14ac:dyDescent="0.3">
      <c r="A157" t="s">
        <v>336</v>
      </c>
      <c r="B157" t="s">
        <v>337</v>
      </c>
      <c r="C157" t="s">
        <v>115</v>
      </c>
      <c r="D157" t="s">
        <v>277</v>
      </c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</row>
    <row r="158" spans="1:15" x14ac:dyDescent="0.3">
      <c r="A158" t="s">
        <v>338</v>
      </c>
      <c r="B158" t="s">
        <v>339</v>
      </c>
      <c r="C158" t="s">
        <v>115</v>
      </c>
      <c r="D158" t="s">
        <v>277</v>
      </c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</row>
    <row r="159" spans="1:15" x14ac:dyDescent="0.3">
      <c r="A159" t="s">
        <v>340</v>
      </c>
      <c r="B159" t="s">
        <v>341</v>
      </c>
      <c r="C159" t="s">
        <v>115</v>
      </c>
      <c r="D159" t="s">
        <v>277</v>
      </c>
    </row>
    <row r="160" spans="1:15" x14ac:dyDescent="0.3">
      <c r="A160" t="s">
        <v>342</v>
      </c>
      <c r="B160" t="s">
        <v>343</v>
      </c>
      <c r="C160" t="s">
        <v>115</v>
      </c>
      <c r="D160" t="s">
        <v>277</v>
      </c>
    </row>
    <row r="161" spans="1:4" x14ac:dyDescent="0.3">
      <c r="A161" t="s">
        <v>344</v>
      </c>
      <c r="B161" t="s">
        <v>345</v>
      </c>
      <c r="C161" t="s">
        <v>115</v>
      </c>
      <c r="D161" t="s">
        <v>277</v>
      </c>
    </row>
    <row r="162" spans="1:4" x14ac:dyDescent="0.3">
      <c r="A162" t="s">
        <v>346</v>
      </c>
      <c r="B162" t="s">
        <v>347</v>
      </c>
      <c r="C162" t="s">
        <v>115</v>
      </c>
      <c r="D162" t="s">
        <v>277</v>
      </c>
    </row>
    <row r="163" spans="1:4" x14ac:dyDescent="0.3">
      <c r="A163" t="s">
        <v>348</v>
      </c>
      <c r="B163" t="s">
        <v>349</v>
      </c>
      <c r="C163" t="s">
        <v>115</v>
      </c>
      <c r="D163" t="s">
        <v>277</v>
      </c>
    </row>
    <row r="164" spans="1:4" x14ac:dyDescent="0.3">
      <c r="A164" t="s">
        <v>350</v>
      </c>
      <c r="B164" t="s">
        <v>351</v>
      </c>
      <c r="C164" t="s">
        <v>115</v>
      </c>
      <c r="D164" t="s">
        <v>277</v>
      </c>
    </row>
    <row r="165" spans="1:4" x14ac:dyDescent="0.3">
      <c r="A165" t="s">
        <v>352</v>
      </c>
      <c r="B165" t="s">
        <v>353</v>
      </c>
      <c r="C165" t="s">
        <v>115</v>
      </c>
      <c r="D165" t="s">
        <v>277</v>
      </c>
    </row>
    <row r="166" spans="1:4" x14ac:dyDescent="0.3">
      <c r="A166" t="s">
        <v>354</v>
      </c>
      <c r="B166" t="s">
        <v>355</v>
      </c>
      <c r="C166" t="s">
        <v>115</v>
      </c>
      <c r="D166" t="s">
        <v>277</v>
      </c>
    </row>
    <row r="167" spans="1:4" x14ac:dyDescent="0.3">
      <c r="A167" t="s">
        <v>356</v>
      </c>
      <c r="B167" t="s">
        <v>357</v>
      </c>
      <c r="C167" t="s">
        <v>358</v>
      </c>
      <c r="D167" t="s">
        <v>277</v>
      </c>
    </row>
    <row r="168" spans="1:4" x14ac:dyDescent="0.3">
      <c r="A168" t="s">
        <v>359</v>
      </c>
      <c r="B168" t="s">
        <v>360</v>
      </c>
      <c r="C168" t="s">
        <v>358</v>
      </c>
      <c r="D168" t="s">
        <v>277</v>
      </c>
    </row>
    <row r="169" spans="1:4" x14ac:dyDescent="0.3">
      <c r="A169" t="s">
        <v>361</v>
      </c>
      <c r="B169" t="s">
        <v>362</v>
      </c>
      <c r="C169" t="s">
        <v>358</v>
      </c>
      <c r="D169" t="s">
        <v>277</v>
      </c>
    </row>
    <row r="170" spans="1:4" x14ac:dyDescent="0.3">
      <c r="A170" t="s">
        <v>363</v>
      </c>
      <c r="B170" t="s">
        <v>364</v>
      </c>
      <c r="C170" t="s">
        <v>358</v>
      </c>
      <c r="D170" t="s">
        <v>277</v>
      </c>
    </row>
    <row r="171" spans="1:4" x14ac:dyDescent="0.3">
      <c r="A171" t="s">
        <v>365</v>
      </c>
      <c r="B171" t="s">
        <v>366</v>
      </c>
      <c r="C171" t="s">
        <v>358</v>
      </c>
      <c r="D171" t="s">
        <v>277</v>
      </c>
    </row>
    <row r="172" spans="1:4" x14ac:dyDescent="0.3">
      <c r="A172" t="s">
        <v>367</v>
      </c>
      <c r="B172" t="s">
        <v>368</v>
      </c>
      <c r="C172" t="s">
        <v>358</v>
      </c>
      <c r="D172" t="s">
        <v>277</v>
      </c>
    </row>
    <row r="173" spans="1:4" x14ac:dyDescent="0.3">
      <c r="A173" t="s">
        <v>369</v>
      </c>
      <c r="B173" t="s">
        <v>370</v>
      </c>
      <c r="C173" t="s">
        <v>358</v>
      </c>
      <c r="D173" t="s">
        <v>277</v>
      </c>
    </row>
    <row r="174" spans="1:4" x14ac:dyDescent="0.3">
      <c r="A174" t="s">
        <v>371</v>
      </c>
      <c r="B174" t="s">
        <v>372</v>
      </c>
      <c r="C174" t="s">
        <v>358</v>
      </c>
      <c r="D174" t="s">
        <v>277</v>
      </c>
    </row>
    <row r="175" spans="1:4" x14ac:dyDescent="0.3">
      <c r="A175" t="s">
        <v>373</v>
      </c>
      <c r="B175" t="s">
        <v>374</v>
      </c>
      <c r="C175" t="s">
        <v>358</v>
      </c>
      <c r="D175" t="s">
        <v>277</v>
      </c>
    </row>
    <row r="176" spans="1:4" x14ac:dyDescent="0.3">
      <c r="A176" t="s">
        <v>375</v>
      </c>
      <c r="B176" t="s">
        <v>376</v>
      </c>
      <c r="C176" t="s">
        <v>358</v>
      </c>
      <c r="D176" t="s">
        <v>277</v>
      </c>
    </row>
    <row r="177" spans="1:4" x14ac:dyDescent="0.3">
      <c r="A177" t="s">
        <v>377</v>
      </c>
      <c r="B177" t="s">
        <v>378</v>
      </c>
      <c r="C177" t="s">
        <v>358</v>
      </c>
      <c r="D177" t="s">
        <v>277</v>
      </c>
    </row>
  </sheetData>
  <autoFilter ref="A1:I177" xr:uid="{00000000-0009-0000-0000-000000000000}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"/>
  <sheetViews>
    <sheetView zoomScale="120" zoomScaleNormal="120" workbookViewId="0">
      <selection activeCell="D52" sqref="A1:D52"/>
    </sheetView>
  </sheetViews>
  <sheetFormatPr baseColWidth="10" defaultColWidth="11.5546875" defaultRowHeight="14.4" x14ac:dyDescent="0.3"/>
  <cols>
    <col min="1" max="1" width="25.109375" customWidth="1"/>
    <col min="2" max="2" width="15.6640625" customWidth="1"/>
    <col min="3" max="3" width="22" customWidth="1"/>
    <col min="4" max="4" width="15.6640625" customWidth="1"/>
  </cols>
  <sheetData>
    <row r="1" spans="1:4" x14ac:dyDescent="0.3">
      <c r="A1" s="16" t="s">
        <v>0</v>
      </c>
      <c r="B1" s="17" t="s">
        <v>272</v>
      </c>
      <c r="C1" s="18" t="s">
        <v>2</v>
      </c>
      <c r="D1" s="19" t="s">
        <v>273</v>
      </c>
    </row>
    <row r="2" spans="1:4" x14ac:dyDescent="0.3">
      <c r="A2" s="20" t="s">
        <v>274</v>
      </c>
      <c r="B2" s="21" t="s">
        <v>275</v>
      </c>
      <c r="C2" s="22" t="s">
        <v>276</v>
      </c>
      <c r="D2" t="s">
        <v>277</v>
      </c>
    </row>
    <row r="3" spans="1:4" x14ac:dyDescent="0.3">
      <c r="A3" t="s">
        <v>278</v>
      </c>
      <c r="B3" s="23" t="s">
        <v>279</v>
      </c>
      <c r="C3" s="22" t="s">
        <v>276</v>
      </c>
      <c r="D3" t="s">
        <v>277</v>
      </c>
    </row>
    <row r="4" spans="1:4" x14ac:dyDescent="0.3">
      <c r="A4" t="s">
        <v>280</v>
      </c>
      <c r="B4" s="23" t="s">
        <v>281</v>
      </c>
      <c r="C4" s="22" t="s">
        <v>276</v>
      </c>
      <c r="D4" t="s">
        <v>277</v>
      </c>
    </row>
    <row r="5" spans="1:4" x14ac:dyDescent="0.3">
      <c r="A5" t="s">
        <v>282</v>
      </c>
      <c r="B5" s="23" t="s">
        <v>283</v>
      </c>
      <c r="C5" s="22" t="s">
        <v>276</v>
      </c>
      <c r="D5" t="s">
        <v>277</v>
      </c>
    </row>
    <row r="6" spans="1:4" x14ac:dyDescent="0.3">
      <c r="A6" t="s">
        <v>284</v>
      </c>
      <c r="B6" s="23" t="s">
        <v>285</v>
      </c>
      <c r="C6" s="22" t="s">
        <v>276</v>
      </c>
      <c r="D6" t="s">
        <v>277</v>
      </c>
    </row>
    <row r="7" spans="1:4" x14ac:dyDescent="0.3">
      <c r="A7" t="s">
        <v>286</v>
      </c>
      <c r="B7" s="23" t="s">
        <v>287</v>
      </c>
      <c r="C7" s="22" t="s">
        <v>276</v>
      </c>
      <c r="D7" t="s">
        <v>277</v>
      </c>
    </row>
    <row r="8" spans="1:4" x14ac:dyDescent="0.3">
      <c r="A8" t="s">
        <v>288</v>
      </c>
      <c r="B8" s="23" t="s">
        <v>289</v>
      </c>
      <c r="C8" s="22" t="s">
        <v>276</v>
      </c>
      <c r="D8" t="s">
        <v>277</v>
      </c>
    </row>
    <row r="9" spans="1:4" x14ac:dyDescent="0.3">
      <c r="A9" t="s">
        <v>290</v>
      </c>
      <c r="B9" s="23" t="s">
        <v>291</v>
      </c>
      <c r="C9" s="22" t="s">
        <v>276</v>
      </c>
      <c r="D9" t="s">
        <v>277</v>
      </c>
    </row>
    <row r="10" spans="1:4" x14ac:dyDescent="0.3">
      <c r="A10" t="s">
        <v>292</v>
      </c>
      <c r="B10" s="23" t="s">
        <v>293</v>
      </c>
      <c r="C10" s="22" t="s">
        <v>276</v>
      </c>
      <c r="D10" t="s">
        <v>277</v>
      </c>
    </row>
    <row r="11" spans="1:4" x14ac:dyDescent="0.3">
      <c r="A11" t="s">
        <v>294</v>
      </c>
      <c r="B11" s="23" t="s">
        <v>295</v>
      </c>
      <c r="C11" s="22" t="s">
        <v>276</v>
      </c>
      <c r="D11" t="s">
        <v>277</v>
      </c>
    </row>
    <row r="12" spans="1:4" x14ac:dyDescent="0.3">
      <c r="A12" s="20" t="s">
        <v>296</v>
      </c>
      <c r="B12" s="21" t="s">
        <v>297</v>
      </c>
      <c r="C12" s="22" t="s">
        <v>11</v>
      </c>
      <c r="D12" t="s">
        <v>277</v>
      </c>
    </row>
    <row r="13" spans="1:4" x14ac:dyDescent="0.3">
      <c r="A13" t="s">
        <v>298</v>
      </c>
      <c r="B13" s="23" t="s">
        <v>299</v>
      </c>
      <c r="C13" s="22" t="s">
        <v>11</v>
      </c>
      <c r="D13" t="s">
        <v>277</v>
      </c>
    </row>
    <row r="14" spans="1:4" x14ac:dyDescent="0.3">
      <c r="A14" t="s">
        <v>300</v>
      </c>
      <c r="B14" s="23" t="s">
        <v>301</v>
      </c>
      <c r="C14" s="22" t="s">
        <v>11</v>
      </c>
      <c r="D14" t="s">
        <v>277</v>
      </c>
    </row>
    <row r="15" spans="1:4" x14ac:dyDescent="0.3">
      <c r="A15" t="s">
        <v>302</v>
      </c>
      <c r="B15" s="23" t="s">
        <v>303</v>
      </c>
      <c r="C15" s="22" t="s">
        <v>11</v>
      </c>
      <c r="D15" t="s">
        <v>277</v>
      </c>
    </row>
    <row r="16" spans="1:4" x14ac:dyDescent="0.3">
      <c r="A16" t="s">
        <v>304</v>
      </c>
      <c r="B16" s="23" t="s">
        <v>305</v>
      </c>
      <c r="C16" s="22" t="s">
        <v>11</v>
      </c>
      <c r="D16" t="s">
        <v>277</v>
      </c>
    </row>
    <row r="17" spans="1:4" x14ac:dyDescent="0.3">
      <c r="A17" t="s">
        <v>306</v>
      </c>
      <c r="B17" s="23" t="s">
        <v>307</v>
      </c>
      <c r="C17" s="22" t="s">
        <v>11</v>
      </c>
      <c r="D17" t="s">
        <v>277</v>
      </c>
    </row>
    <row r="18" spans="1:4" x14ac:dyDescent="0.3">
      <c r="A18" t="s">
        <v>308</v>
      </c>
      <c r="B18" s="23" t="s">
        <v>309</v>
      </c>
      <c r="C18" s="22" t="s">
        <v>11</v>
      </c>
      <c r="D18" t="s">
        <v>277</v>
      </c>
    </row>
    <row r="19" spans="1:4" x14ac:dyDescent="0.3">
      <c r="A19" t="s">
        <v>310</v>
      </c>
      <c r="B19" s="23" t="s">
        <v>311</v>
      </c>
      <c r="C19" s="24" t="s">
        <v>11</v>
      </c>
      <c r="D19" t="s">
        <v>277</v>
      </c>
    </row>
    <row r="20" spans="1:4" x14ac:dyDescent="0.3">
      <c r="A20" s="20" t="s">
        <v>312</v>
      </c>
      <c r="B20" s="21" t="s">
        <v>313</v>
      </c>
      <c r="C20" s="22" t="s">
        <v>249</v>
      </c>
      <c r="D20" t="s">
        <v>277</v>
      </c>
    </row>
    <row r="21" spans="1:4" x14ac:dyDescent="0.3">
      <c r="A21" t="s">
        <v>314</v>
      </c>
      <c r="B21" s="23" t="s">
        <v>315</v>
      </c>
      <c r="C21" s="22" t="s">
        <v>249</v>
      </c>
      <c r="D21" t="s">
        <v>277</v>
      </c>
    </row>
    <row r="22" spans="1:4" x14ac:dyDescent="0.3">
      <c r="A22" t="s">
        <v>316</v>
      </c>
      <c r="B22" s="23" t="s">
        <v>317</v>
      </c>
      <c r="C22" s="22" t="s">
        <v>249</v>
      </c>
      <c r="D22" t="s">
        <v>277</v>
      </c>
    </row>
    <row r="23" spans="1:4" x14ac:dyDescent="0.3">
      <c r="A23" t="s">
        <v>318</v>
      </c>
      <c r="B23" s="23" t="s">
        <v>319</v>
      </c>
      <c r="C23" s="22" t="s">
        <v>249</v>
      </c>
      <c r="D23" t="s">
        <v>277</v>
      </c>
    </row>
    <row r="24" spans="1:4" x14ac:dyDescent="0.3">
      <c r="A24" t="s">
        <v>320</v>
      </c>
      <c r="B24" s="23" t="s">
        <v>321</v>
      </c>
      <c r="C24" s="22" t="s">
        <v>249</v>
      </c>
      <c r="D24" t="s">
        <v>277</v>
      </c>
    </row>
    <row r="25" spans="1:4" x14ac:dyDescent="0.3">
      <c r="A25" t="s">
        <v>322</v>
      </c>
      <c r="B25" s="23" t="s">
        <v>323</v>
      </c>
      <c r="C25" s="22" t="s">
        <v>249</v>
      </c>
      <c r="D25" t="s">
        <v>277</v>
      </c>
    </row>
    <row r="26" spans="1:4" x14ac:dyDescent="0.3">
      <c r="A26" t="s">
        <v>324</v>
      </c>
      <c r="B26" s="23" t="s">
        <v>325</v>
      </c>
      <c r="C26" s="22" t="s">
        <v>249</v>
      </c>
      <c r="D26" t="s">
        <v>277</v>
      </c>
    </row>
    <row r="27" spans="1:4" x14ac:dyDescent="0.3">
      <c r="A27" t="s">
        <v>326</v>
      </c>
      <c r="B27" s="23" t="s">
        <v>327</v>
      </c>
      <c r="C27" s="22" t="s">
        <v>249</v>
      </c>
      <c r="D27" t="s">
        <v>277</v>
      </c>
    </row>
    <row r="28" spans="1:4" x14ac:dyDescent="0.3">
      <c r="A28" t="s">
        <v>328</v>
      </c>
      <c r="B28" s="23" t="s">
        <v>329</v>
      </c>
      <c r="C28" s="22" t="s">
        <v>249</v>
      </c>
      <c r="D28" t="s">
        <v>277</v>
      </c>
    </row>
    <row r="29" spans="1:4" x14ac:dyDescent="0.3">
      <c r="A29" t="s">
        <v>330</v>
      </c>
      <c r="B29" s="23" t="s">
        <v>331</v>
      </c>
      <c r="C29" s="25" t="s">
        <v>249</v>
      </c>
      <c r="D29" t="s">
        <v>277</v>
      </c>
    </row>
    <row r="30" spans="1:4" x14ac:dyDescent="0.3">
      <c r="A30" s="20" t="s">
        <v>332</v>
      </c>
      <c r="B30" s="21" t="s">
        <v>333</v>
      </c>
      <c r="C30" s="22" t="s">
        <v>115</v>
      </c>
      <c r="D30" t="s">
        <v>277</v>
      </c>
    </row>
    <row r="31" spans="1:4" x14ac:dyDescent="0.3">
      <c r="A31" t="s">
        <v>334</v>
      </c>
      <c r="B31" s="23" t="s">
        <v>335</v>
      </c>
      <c r="C31" s="22" t="s">
        <v>115</v>
      </c>
      <c r="D31" t="s">
        <v>277</v>
      </c>
    </row>
    <row r="32" spans="1:4" x14ac:dyDescent="0.3">
      <c r="A32" t="s">
        <v>336</v>
      </c>
      <c r="B32" s="23" t="s">
        <v>337</v>
      </c>
      <c r="C32" s="22" t="s">
        <v>115</v>
      </c>
      <c r="D32" t="s">
        <v>277</v>
      </c>
    </row>
    <row r="33" spans="1:4" x14ac:dyDescent="0.3">
      <c r="A33" t="s">
        <v>338</v>
      </c>
      <c r="B33" s="23" t="s">
        <v>339</v>
      </c>
      <c r="C33" s="22" t="s">
        <v>115</v>
      </c>
      <c r="D33" t="s">
        <v>277</v>
      </c>
    </row>
    <row r="34" spans="1:4" x14ac:dyDescent="0.3">
      <c r="A34" t="s">
        <v>340</v>
      </c>
      <c r="B34" s="23" t="s">
        <v>341</v>
      </c>
      <c r="C34" s="22" t="s">
        <v>115</v>
      </c>
      <c r="D34" t="s">
        <v>277</v>
      </c>
    </row>
    <row r="35" spans="1:4" x14ac:dyDescent="0.3">
      <c r="A35" t="s">
        <v>342</v>
      </c>
      <c r="B35" s="23" t="s">
        <v>343</v>
      </c>
      <c r="C35" s="22" t="s">
        <v>115</v>
      </c>
      <c r="D35" t="s">
        <v>277</v>
      </c>
    </row>
    <row r="36" spans="1:4" x14ac:dyDescent="0.3">
      <c r="A36" t="s">
        <v>344</v>
      </c>
      <c r="B36" s="23" t="s">
        <v>345</v>
      </c>
      <c r="C36" s="22" t="s">
        <v>115</v>
      </c>
      <c r="D36" t="s">
        <v>277</v>
      </c>
    </row>
    <row r="37" spans="1:4" x14ac:dyDescent="0.3">
      <c r="A37" t="s">
        <v>346</v>
      </c>
      <c r="B37" s="23" t="s">
        <v>347</v>
      </c>
      <c r="C37" s="22" t="s">
        <v>115</v>
      </c>
      <c r="D37" t="s">
        <v>277</v>
      </c>
    </row>
    <row r="38" spans="1:4" x14ac:dyDescent="0.3">
      <c r="A38" t="s">
        <v>348</v>
      </c>
      <c r="B38" s="23" t="s">
        <v>349</v>
      </c>
      <c r="C38" s="22" t="s">
        <v>115</v>
      </c>
      <c r="D38" t="s">
        <v>277</v>
      </c>
    </row>
    <row r="39" spans="1:4" x14ac:dyDescent="0.3">
      <c r="A39" t="s">
        <v>350</v>
      </c>
      <c r="B39" s="23" t="s">
        <v>351</v>
      </c>
      <c r="C39" s="22" t="s">
        <v>115</v>
      </c>
      <c r="D39" t="s">
        <v>277</v>
      </c>
    </row>
    <row r="40" spans="1:4" x14ac:dyDescent="0.3">
      <c r="A40" t="s">
        <v>352</v>
      </c>
      <c r="B40" s="23" t="s">
        <v>353</v>
      </c>
      <c r="C40" s="22" t="s">
        <v>115</v>
      </c>
      <c r="D40" t="s">
        <v>277</v>
      </c>
    </row>
    <row r="41" spans="1:4" x14ac:dyDescent="0.3">
      <c r="A41" t="s">
        <v>354</v>
      </c>
      <c r="B41" s="23" t="s">
        <v>355</v>
      </c>
      <c r="C41" s="25" t="s">
        <v>115</v>
      </c>
      <c r="D41" t="s">
        <v>277</v>
      </c>
    </row>
    <row r="42" spans="1:4" x14ac:dyDescent="0.3">
      <c r="A42" s="20" t="s">
        <v>356</v>
      </c>
      <c r="B42" s="21" t="s">
        <v>357</v>
      </c>
      <c r="C42" s="22" t="s">
        <v>358</v>
      </c>
      <c r="D42" t="s">
        <v>277</v>
      </c>
    </row>
    <row r="43" spans="1:4" x14ac:dyDescent="0.3">
      <c r="A43" t="s">
        <v>359</v>
      </c>
      <c r="B43" s="23" t="s">
        <v>360</v>
      </c>
      <c r="C43" s="22" t="s">
        <v>358</v>
      </c>
      <c r="D43" t="s">
        <v>277</v>
      </c>
    </row>
    <row r="44" spans="1:4" x14ac:dyDescent="0.3">
      <c r="A44" t="s">
        <v>361</v>
      </c>
      <c r="B44" s="23" t="s">
        <v>362</v>
      </c>
      <c r="C44" s="22" t="s">
        <v>358</v>
      </c>
      <c r="D44" t="s">
        <v>277</v>
      </c>
    </row>
    <row r="45" spans="1:4" x14ac:dyDescent="0.3">
      <c r="A45" t="s">
        <v>363</v>
      </c>
      <c r="B45" s="23" t="s">
        <v>364</v>
      </c>
      <c r="C45" s="22" t="s">
        <v>358</v>
      </c>
      <c r="D45" t="s">
        <v>277</v>
      </c>
    </row>
    <row r="46" spans="1:4" x14ac:dyDescent="0.3">
      <c r="A46" t="s">
        <v>365</v>
      </c>
      <c r="B46" s="23" t="s">
        <v>366</v>
      </c>
      <c r="C46" s="22" t="s">
        <v>358</v>
      </c>
      <c r="D46" t="s">
        <v>277</v>
      </c>
    </row>
    <row r="47" spans="1:4" x14ac:dyDescent="0.3">
      <c r="A47" t="s">
        <v>367</v>
      </c>
      <c r="B47" s="23" t="s">
        <v>368</v>
      </c>
      <c r="C47" s="22" t="s">
        <v>358</v>
      </c>
      <c r="D47" t="s">
        <v>277</v>
      </c>
    </row>
    <row r="48" spans="1:4" x14ac:dyDescent="0.3">
      <c r="A48" t="s">
        <v>369</v>
      </c>
      <c r="B48" s="23" t="s">
        <v>370</v>
      </c>
      <c r="C48" s="22" t="s">
        <v>358</v>
      </c>
      <c r="D48" t="s">
        <v>277</v>
      </c>
    </row>
    <row r="49" spans="1:4" x14ac:dyDescent="0.3">
      <c r="A49" t="s">
        <v>371</v>
      </c>
      <c r="B49" s="23" t="s">
        <v>372</v>
      </c>
      <c r="C49" s="22" t="s">
        <v>358</v>
      </c>
      <c r="D49" t="s">
        <v>277</v>
      </c>
    </row>
    <row r="50" spans="1:4" x14ac:dyDescent="0.3">
      <c r="A50" t="s">
        <v>373</v>
      </c>
      <c r="B50" s="23" t="s">
        <v>374</v>
      </c>
      <c r="C50" s="22" t="s">
        <v>358</v>
      </c>
      <c r="D50" t="s">
        <v>277</v>
      </c>
    </row>
    <row r="51" spans="1:4" x14ac:dyDescent="0.3">
      <c r="A51" t="s">
        <v>375</v>
      </c>
      <c r="B51" s="23" t="s">
        <v>376</v>
      </c>
      <c r="C51" s="22" t="s">
        <v>358</v>
      </c>
      <c r="D51" t="s">
        <v>277</v>
      </c>
    </row>
    <row r="52" spans="1:4" x14ac:dyDescent="0.3">
      <c r="A52" t="s">
        <v>377</v>
      </c>
      <c r="B52" s="23" t="s">
        <v>378</v>
      </c>
      <c r="C52" s="24" t="s">
        <v>358</v>
      </c>
      <c r="D52" t="s">
        <v>277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Jalisco</vt:lpstr>
      <vt:lpstr>Nuevo Leon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Guzman</dc:creator>
  <dc:description/>
  <cp:lastModifiedBy>Eduardo Guzman</cp:lastModifiedBy>
  <cp:revision>3</cp:revision>
  <dcterms:created xsi:type="dcterms:W3CDTF">2025-12-10T00:49:39Z</dcterms:created>
  <dcterms:modified xsi:type="dcterms:W3CDTF">2025-12-13T01:10:31Z</dcterms:modified>
  <dc:language>es-MX</dc:language>
</cp:coreProperties>
</file>